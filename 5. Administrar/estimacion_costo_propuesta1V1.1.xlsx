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F73E1CEB-30E1-4444-A68C-0297396C15E3}" xr6:coauthVersionLast="47" xr6:coauthVersionMax="47" xr10:uidLastSave="{00000000-0000-0000-0000-000000000000}"/>
  <bookViews>
    <workbookView xWindow="-120" yWindow="-120" windowWidth="20730" windowHeight="11160" tabRatio="848" activeTab="2" xr2:uid="{00000000-000D-0000-FFFF-FFFF00000000}"/>
  </bookViews>
  <sheets>
    <sheet name="Resumen general" sheetId="1" r:id="rId1"/>
    <sheet name="Costo Gestión AUP" sheetId="2" r:id="rId2"/>
    <sheet name="Costo fas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4" i="3" l="1"/>
  <c r="E91" i="3"/>
  <c r="E92" i="3"/>
  <c r="E93" i="3"/>
  <c r="B12" i="1"/>
  <c r="E160" i="3"/>
  <c r="C7" i="3" s="1"/>
  <c r="E151" i="3"/>
  <c r="E152" i="3"/>
  <c r="E153" i="3"/>
  <c r="E154" i="3"/>
  <c r="E155" i="3"/>
  <c r="E156" i="3"/>
  <c r="E157" i="3"/>
  <c r="E158" i="3"/>
  <c r="E159" i="3"/>
  <c r="E166" i="3"/>
  <c r="E167" i="3"/>
  <c r="E168" i="3"/>
  <c r="E169" i="3"/>
  <c r="E170" i="3"/>
  <c r="E171" i="3"/>
  <c r="E172" i="3"/>
  <c r="E165" i="3"/>
  <c r="E150" i="3"/>
  <c r="C108" i="3"/>
  <c r="D146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22" i="3"/>
  <c r="B146" i="3"/>
  <c r="G129" i="3"/>
  <c r="I123" i="3"/>
  <c r="I124" i="3"/>
  <c r="I125" i="3"/>
  <c r="I126" i="3"/>
  <c r="I127" i="3"/>
  <c r="I128" i="3"/>
  <c r="E173" i="3" l="1"/>
  <c r="C8" i="3" s="1"/>
  <c r="I122" i="3"/>
  <c r="I129" i="3" s="1"/>
  <c r="E112" i="3" l="1"/>
  <c r="E113" i="3" s="1"/>
  <c r="G106" i="3"/>
  <c r="G107" i="3"/>
  <c r="G105" i="3"/>
  <c r="E99" i="3"/>
  <c r="E100" i="3"/>
  <c r="E98" i="3"/>
  <c r="E90" i="3"/>
  <c r="G86" i="3"/>
  <c r="G85" i="3"/>
  <c r="G87" i="3" s="1"/>
  <c r="G33" i="3"/>
  <c r="G34" i="3"/>
  <c r="G35" i="3"/>
  <c r="G36" i="3"/>
  <c r="G37" i="3"/>
  <c r="G32" i="3"/>
  <c r="G77" i="3"/>
  <c r="G76" i="3"/>
  <c r="G59" i="3"/>
  <c r="G58" i="3"/>
  <c r="G53" i="3"/>
  <c r="G52" i="3"/>
  <c r="G47" i="3"/>
  <c r="G46" i="3"/>
  <c r="G71" i="3"/>
  <c r="G70" i="3"/>
  <c r="G65" i="3"/>
  <c r="G64" i="3"/>
  <c r="G27" i="3"/>
  <c r="G26" i="3"/>
  <c r="G14" i="3"/>
  <c r="G13" i="3"/>
  <c r="G20" i="3"/>
  <c r="G21" i="3"/>
  <c r="G19" i="3"/>
  <c r="G133" i="3" l="1"/>
  <c r="G108" i="3"/>
  <c r="G54" i="3"/>
  <c r="E101" i="3"/>
  <c r="G66" i="3"/>
  <c r="G72" i="3"/>
  <c r="G78" i="3"/>
  <c r="G15" i="3"/>
  <c r="G60" i="3"/>
  <c r="G28" i="3"/>
  <c r="G38" i="3"/>
  <c r="G22" i="3"/>
  <c r="G48" i="3"/>
  <c r="C6" i="3" l="1"/>
  <c r="C9" i="3" s="1"/>
  <c r="B13" i="1" s="1"/>
  <c r="C5" i="3"/>
  <c r="C4" i="3"/>
  <c r="B15" i="1" l="1"/>
  <c r="B14" i="1"/>
  <c r="B16" i="1" l="1"/>
</calcChain>
</file>

<file path=xl/sharedStrings.xml><?xml version="1.0" encoding="utf-8"?>
<sst xmlns="http://schemas.openxmlformats.org/spreadsheetml/2006/main" count="337" uniqueCount="160">
  <si>
    <t>ESTIMACIÓN DE COSTOS - BOCATTO VALLEY (144 HORAS)</t>
  </si>
  <si>
    <t>Concepto</t>
  </si>
  <si>
    <t>Rol</t>
  </si>
  <si>
    <t>Horas</t>
  </si>
  <si>
    <t>Subtotal (USD)</t>
  </si>
  <si>
    <t>TOTAL</t>
  </si>
  <si>
    <t>Fase</t>
  </si>
  <si>
    <t>Costo estimado (USD)</t>
  </si>
  <si>
    <t>Fase 1 - Elicitación</t>
  </si>
  <si>
    <t>Fase 2 - Análisis</t>
  </si>
  <si>
    <t>Unidad</t>
  </si>
  <si>
    <t>Cantidad</t>
  </si>
  <si>
    <t>Costo unitario (USD)</t>
  </si>
  <si>
    <t>mes</t>
  </si>
  <si>
    <t xml:space="preserve">DATOS GENERALES DEL PROYECTO </t>
  </si>
  <si>
    <t>ITEM</t>
  </si>
  <si>
    <t>DESCRIPCIÓN</t>
  </si>
  <si>
    <t>TIPO DE PROYECTO:</t>
  </si>
  <si>
    <t>Metodologia</t>
  </si>
  <si>
    <t>Enfoque</t>
  </si>
  <si>
    <t>Semiprofesional</t>
  </si>
  <si>
    <t>Pais</t>
  </si>
  <si>
    <t>Ecuador</t>
  </si>
  <si>
    <t>Año</t>
  </si>
  <si>
    <t>2025-2026</t>
  </si>
  <si>
    <t>Duración</t>
  </si>
  <si>
    <t>fase 3 - especificación</t>
  </si>
  <si>
    <t>Fase 4 - Validación</t>
  </si>
  <si>
    <t>Actividades</t>
  </si>
  <si>
    <t>entrevista, sesion de brainstorming</t>
  </si>
  <si>
    <t>arbol de problemas</t>
  </si>
  <si>
    <t>diagrama de casos de uso, diagramas</t>
  </si>
  <si>
    <t>pruebas, validaciones</t>
  </si>
  <si>
    <t>DETALLES FASE 1 - ELICITACIÓN</t>
  </si>
  <si>
    <t>Actividad</t>
  </si>
  <si>
    <t>Subtotal</t>
  </si>
  <si>
    <t>Pago por hora (USD/h)</t>
  </si>
  <si>
    <t>Entrevista al cliente</t>
  </si>
  <si>
    <t>Brainstorming</t>
  </si>
  <si>
    <t>Analista de Requisitos (Ricardo Lainez)</t>
  </si>
  <si>
    <t>Analista de Requisitos (Kerlly Chiriboga)</t>
  </si>
  <si>
    <t>Cocinero (Daniel Cadena)</t>
  </si>
  <si>
    <t>Mesero (Stiven Pachacama)</t>
  </si>
  <si>
    <t>Cajero (Andrés Jason)</t>
  </si>
  <si>
    <t>Fecha inicio</t>
  </si>
  <si>
    <t>fecha fin</t>
  </si>
  <si>
    <t>Fecha fin</t>
  </si>
  <si>
    <t>Operador de llamadas (Stiven Canchig)</t>
  </si>
  <si>
    <t>Planificación entrevista (guía de preguntas)</t>
  </si>
  <si>
    <t>Planificación brainstorming (guía/preguntas)</t>
  </si>
  <si>
    <t>DETALLES FASE 2 - ANALISIS</t>
  </si>
  <si>
    <t>Árbol de problemas</t>
  </si>
  <si>
    <t>Definición del problema</t>
  </si>
  <si>
    <t>Minuta de entrevista</t>
  </si>
  <si>
    <t>Acta de brainstorming</t>
  </si>
  <si>
    <t>Casos de uso actual</t>
  </si>
  <si>
    <t>Modelo conceptual</t>
  </si>
  <si>
    <t>DETALLE FASE 3 - ESPECIFICACIÓN</t>
  </si>
  <si>
    <t>Casos de uso Nivel 0</t>
  </si>
  <si>
    <t>Casos de uso expandido</t>
  </si>
  <si>
    <t>Costo unitario</t>
  </si>
  <si>
    <t>Internet</t>
  </si>
  <si>
    <t>Energía eléctrica</t>
  </si>
  <si>
    <t>Equipo</t>
  </si>
  <si>
    <t>Servicio básico</t>
  </si>
  <si>
    <t>Agua</t>
  </si>
  <si>
    <t>Modelo / descripción</t>
  </si>
  <si>
    <t>Valor comercial (USD)</t>
  </si>
  <si>
    <t>Vida útil (meses)</t>
  </si>
  <si>
    <t>Laptop Analista 1</t>
  </si>
  <si>
    <t>Laptop Analista 2</t>
  </si>
  <si>
    <t>Celular de pruebas</t>
  </si>
  <si>
    <t>Android gama media</t>
  </si>
  <si>
    <t>Espacio de trabajo (presencial)</t>
  </si>
  <si>
    <t>Depreciación mensual (USD)</t>
  </si>
  <si>
    <t>Meses del proyecto</t>
  </si>
  <si>
    <t>Depreciación del proyecto (USD)</t>
  </si>
  <si>
    <t>Lenovo/HP Core i5 8GB</t>
  </si>
  <si>
    <t>Caso de uso</t>
  </si>
  <si>
    <t>CU-08 Ver menú digital</t>
  </si>
  <si>
    <t>Requerimiento no funcional</t>
  </si>
  <si>
    <t>NF-05 Compatibilidad de dispositivos</t>
  </si>
  <si>
    <t>TOTAL VALIDACION:</t>
  </si>
  <si>
    <t>DETALLE FASE 4 - VALIDACIÓN PROPUESTA 1</t>
  </si>
  <si>
    <t>AUP</t>
  </si>
  <si>
    <t>Gestor de proyecto (Ricardo Lainez)</t>
  </si>
  <si>
    <t>COSTO – DISCIPLINA DE INGENIERÍA DE REQUISITOS (AUP)</t>
  </si>
  <si>
    <t>Stakeholder (David Lainez)</t>
  </si>
  <si>
    <t>Analista de Negocio (Ricardo Lainez)</t>
  </si>
  <si>
    <t>Analista de Negocio (Kerlly Chiriboga)</t>
  </si>
  <si>
    <t>Arquitecto de Software (Ricardo Lainez)</t>
  </si>
  <si>
    <t>Arquitecto de Software (Kerlly Chiriboga)</t>
  </si>
  <si>
    <t>El stakeholder corresponde al cliente/promotor del restaurante, por lo que no representa un costo directo para el equipo de desarrollo. Su participación en entrevistas y validaciones forma parte del proceso de levantamiento de información como cliente del servicio.</t>
  </si>
  <si>
    <t>Las actividades de elicitación, análisis, especificación y validación corresponden a la disciplina de Ingeniería de Requisitos y se ejecutan de forma iterativa dentro de las fases del proceso AUP.</t>
  </si>
  <si>
    <t>NF-02 Seguridad de información</t>
  </si>
  <si>
    <t>NF-01 Rendimiento de requisitos</t>
  </si>
  <si>
    <t>NF-03 fiabilidad del sistema</t>
  </si>
  <si>
    <t>NF-04 Disponibilidad del sistema</t>
  </si>
  <si>
    <t>NF-06 Portabilidad del sistema</t>
  </si>
  <si>
    <t>NF-07 Usabilidad del sistema</t>
  </si>
  <si>
    <t>CU-01 Autenticar en el sistema</t>
  </si>
  <si>
    <t>CU-02 Tomar pedido en mesa</t>
  </si>
  <si>
    <t>CU-03 Registrar pedido en mesa</t>
  </si>
  <si>
    <t>CU-05 Tomar pedido telefónico</t>
  </si>
  <si>
    <t>CU-06 Registrar pedido telefónico</t>
  </si>
  <si>
    <t xml:space="preserve">CU-07 Gestionar pedido por QR </t>
  </si>
  <si>
    <t>CU-04 Comunicar pedido a cocina</t>
  </si>
  <si>
    <t>CU-09 Registrar pedido por QR</t>
  </si>
  <si>
    <t>CU-10 Agregar Observaciones</t>
  </si>
  <si>
    <t>CU-11 Gestionar preparación del pedido</t>
  </si>
  <si>
    <t>CU-12 Verificar lista de pedidos</t>
  </si>
  <si>
    <t>CU-13 Actualizar estado del pedido digital</t>
  </si>
  <si>
    <t>CU-14 Cobrar pedido en caja</t>
  </si>
  <si>
    <t>CU-15 Buscar pedido por mesa</t>
  </si>
  <si>
    <t>CU-16 Cobrar pedido</t>
  </si>
  <si>
    <t>CU-17 Marcar pedido como pagado</t>
  </si>
  <si>
    <t>CU-18 Habilitar pedido para entrega</t>
  </si>
  <si>
    <t>CU-19 Consultar estado del pedido</t>
  </si>
  <si>
    <t>CU-20 Administrar configuración del sistema</t>
  </si>
  <si>
    <t>CU-21 Administrar menu digital</t>
  </si>
  <si>
    <t>CU-22 Gestionar QR por mesa</t>
  </si>
  <si>
    <t>CU-23 Gestionar promociones</t>
  </si>
  <si>
    <t>CU-24 Consultar reportes básicos</t>
  </si>
  <si>
    <t>Integrantes</t>
  </si>
  <si>
    <t>Costo * hora</t>
  </si>
  <si>
    <t>Ricardo Lainez</t>
  </si>
  <si>
    <t>Kerlly Chiriboga</t>
  </si>
  <si>
    <t>Recurso Humanos: METODOLOGIA AUP</t>
  </si>
  <si>
    <t>Gestor de proyecto</t>
  </si>
  <si>
    <t>analista de negocio (Ingenieria de requisitos)</t>
  </si>
  <si>
    <t>Arquitecto de software</t>
  </si>
  <si>
    <t xml:space="preserve">Desarrollador </t>
  </si>
  <si>
    <t>tester</t>
  </si>
  <si>
    <t>Elaboracion interfaces (G4)</t>
  </si>
  <si>
    <t>Arquitecto de software (diseñador UX/UI - Ricardo Lainez)</t>
  </si>
  <si>
    <t>Arquitecto de software (diseñador UX/UI - Kerlly Chiriboga)</t>
  </si>
  <si>
    <t>Matriz de trazabilidad</t>
  </si>
  <si>
    <t>Documentación SRS</t>
  </si>
  <si>
    <t>Analista de negocio (Ingenieria de requisitos - Ricardo Lainez)</t>
  </si>
  <si>
    <t>Analista de negocio (Ingenieria de requisitos - Kerlly Chiriboga)</t>
  </si>
  <si>
    <t>Defensas de interfaces</t>
  </si>
  <si>
    <t>DETALLE FASE 5 - Administrar</t>
  </si>
  <si>
    <t>Gestion y seguimiento</t>
  </si>
  <si>
    <t>Organización y mantenimiento</t>
  </si>
  <si>
    <t>Coordinación defensas y entregas</t>
  </si>
  <si>
    <t>Revisión y control de calidad</t>
  </si>
  <si>
    <t>Coordinación del equipo</t>
  </si>
  <si>
    <t>elaboracion de estimación de RF - RNF</t>
  </si>
  <si>
    <t>Fase 5 - Administrar</t>
  </si>
  <si>
    <t>Administración general</t>
  </si>
  <si>
    <t>horas trabajadas por integrante</t>
  </si>
  <si>
    <t>UNIDAD</t>
  </si>
  <si>
    <t>Sistema de gestión de pedidos</t>
  </si>
  <si>
    <t>horas</t>
  </si>
  <si>
    <t>año</t>
  </si>
  <si>
    <t>dólares</t>
  </si>
  <si>
    <t>costo proceso de levantamientos de requisitos (20%)</t>
  </si>
  <si>
    <t>Costo de elaboración del proyecto (80%)</t>
  </si>
  <si>
    <t>Costo contingencia - riesgos (10%)</t>
  </si>
  <si>
    <t>Costo total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</si>
</sst>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name val="Calibri"/>
      <family val="2"/>
    </font>
    <font>
      <b/>
      <sz val="16"/>
      <name val="Calibri"/>
      <family val="2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6" fillId="5" borderId="0" xfId="0" applyFont="1" applyFill="1" applyAlignment="1">
      <alignment horizontal="center"/>
    </xf>
    <xf numFmtId="0" fontId="0" fillId="3" borderId="2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B16" sqref="B16"/>
    </sheetView>
  </sheetViews>
  <sheetFormatPr baseColWidth="10" defaultColWidth="9.140625" defaultRowHeight="15" x14ac:dyDescent="0.25"/>
  <cols>
    <col min="1" max="1" width="48.5703125" bestFit="1" customWidth="1"/>
    <col min="2" max="2" width="27.5703125" customWidth="1"/>
  </cols>
  <sheetData>
    <row r="1" spans="1:3" ht="21" x14ac:dyDescent="0.35">
      <c r="A1" s="28" t="s">
        <v>0</v>
      </c>
      <c r="B1" s="28"/>
      <c r="C1" s="28"/>
    </row>
    <row r="4" spans="1:3" x14ac:dyDescent="0.25">
      <c r="A4" s="29" t="s">
        <v>14</v>
      </c>
      <c r="B4" s="30"/>
      <c r="C4" s="31"/>
    </row>
    <row r="5" spans="1:3" x14ac:dyDescent="0.25">
      <c r="A5" s="32" t="s">
        <v>15</v>
      </c>
      <c r="B5" s="32" t="s">
        <v>16</v>
      </c>
      <c r="C5" s="32" t="s">
        <v>151</v>
      </c>
    </row>
    <row r="6" spans="1:3" ht="30" x14ac:dyDescent="0.25">
      <c r="A6" s="32" t="s">
        <v>17</v>
      </c>
      <c r="B6" s="32" t="s">
        <v>152</v>
      </c>
      <c r="C6" s="32"/>
    </row>
    <row r="7" spans="1:3" x14ac:dyDescent="0.25">
      <c r="A7" s="32" t="s">
        <v>18</v>
      </c>
      <c r="B7" s="32" t="s">
        <v>84</v>
      </c>
      <c r="C7" s="32"/>
    </row>
    <row r="8" spans="1:3" x14ac:dyDescent="0.25">
      <c r="A8" s="32" t="s">
        <v>19</v>
      </c>
      <c r="B8" s="32" t="s">
        <v>20</v>
      </c>
      <c r="C8" s="32"/>
    </row>
    <row r="9" spans="1:3" x14ac:dyDescent="0.25">
      <c r="A9" s="32" t="s">
        <v>21</v>
      </c>
      <c r="B9" s="32" t="s">
        <v>22</v>
      </c>
      <c r="C9" s="32"/>
    </row>
    <row r="10" spans="1:3" x14ac:dyDescent="0.25">
      <c r="A10" s="32" t="s">
        <v>23</v>
      </c>
      <c r="B10" s="32" t="s">
        <v>24</v>
      </c>
      <c r="C10" s="32" t="s">
        <v>154</v>
      </c>
    </row>
    <row r="11" spans="1:3" x14ac:dyDescent="0.25">
      <c r="A11" s="32" t="s">
        <v>25</v>
      </c>
      <c r="B11" s="32">
        <v>144</v>
      </c>
      <c r="C11" s="32" t="s">
        <v>153</v>
      </c>
    </row>
    <row r="12" spans="1:3" x14ac:dyDescent="0.25">
      <c r="A12" s="32" t="s">
        <v>150</v>
      </c>
      <c r="B12" s="34">
        <f>144*2</f>
        <v>288</v>
      </c>
      <c r="C12" s="32" t="s">
        <v>153</v>
      </c>
    </row>
    <row r="13" spans="1:3" x14ac:dyDescent="0.25">
      <c r="A13" s="32" t="s">
        <v>156</v>
      </c>
      <c r="B13" s="35">
        <f>'Costo fases'!C9</f>
        <v>4301.5</v>
      </c>
      <c r="C13" s="32" t="s">
        <v>155</v>
      </c>
    </row>
    <row r="14" spans="1:3" x14ac:dyDescent="0.25">
      <c r="A14" s="32" t="s">
        <v>157</v>
      </c>
      <c r="B14" s="35">
        <f>(B13*0.8)/0.2</f>
        <v>17206</v>
      </c>
      <c r="C14" s="32" t="s">
        <v>155</v>
      </c>
    </row>
    <row r="15" spans="1:3" x14ac:dyDescent="0.25">
      <c r="A15" s="32" t="s">
        <v>158</v>
      </c>
      <c r="B15" s="35">
        <f>(B13*0.1)/0.2</f>
        <v>2150.75</v>
      </c>
      <c r="C15" s="32" t="s">
        <v>155</v>
      </c>
    </row>
    <row r="16" spans="1:3" x14ac:dyDescent="0.25">
      <c r="A16" s="36" t="s">
        <v>159</v>
      </c>
      <c r="B16" s="37">
        <f>SUM(B13:B15)</f>
        <v>23658.25</v>
      </c>
      <c r="C16" s="36" t="s">
        <v>155</v>
      </c>
    </row>
  </sheetData>
  <mergeCells count="2">
    <mergeCell ref="A4:C4"/>
    <mergeCell ref="A1:C1"/>
  </mergeCells>
  <pageMargins left="0.75" right="0.75" top="1" bottom="1" header="0.5" footer="0.5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15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9.5703125" customWidth="1"/>
    <col min="2" max="2" width="9.28515625" customWidth="1"/>
    <col min="3" max="3" width="20.140625" customWidth="1"/>
    <col min="4" max="4" width="32.140625" customWidth="1"/>
    <col min="5" max="5" width="11.85546875" bestFit="1" customWidth="1"/>
  </cols>
  <sheetData>
    <row r="3" spans="2:6" ht="23.25" customHeight="1" x14ac:dyDescent="0.25">
      <c r="B3" s="44" t="s">
        <v>127</v>
      </c>
      <c r="C3" s="44"/>
      <c r="D3" s="44"/>
      <c r="E3" s="44"/>
      <c r="F3" s="44"/>
    </row>
    <row r="5" spans="2:6" x14ac:dyDescent="0.25">
      <c r="C5" s="10" t="s">
        <v>123</v>
      </c>
      <c r="D5" s="22" t="s">
        <v>2</v>
      </c>
      <c r="E5" s="22" t="s">
        <v>124</v>
      </c>
    </row>
    <row r="6" spans="2:6" x14ac:dyDescent="0.25">
      <c r="C6" s="40" t="s">
        <v>125</v>
      </c>
      <c r="D6" s="39" t="s">
        <v>128</v>
      </c>
      <c r="E6" s="45">
        <v>20</v>
      </c>
    </row>
    <row r="7" spans="2:6" ht="30" x14ac:dyDescent="0.25">
      <c r="C7" s="41"/>
      <c r="D7" s="32" t="s">
        <v>129</v>
      </c>
      <c r="E7" s="45">
        <v>20</v>
      </c>
    </row>
    <row r="8" spans="2:6" x14ac:dyDescent="0.25">
      <c r="C8" s="41"/>
      <c r="D8" s="39" t="s">
        <v>130</v>
      </c>
      <c r="E8" s="45">
        <v>30</v>
      </c>
    </row>
    <row r="9" spans="2:6" x14ac:dyDescent="0.25">
      <c r="C9" s="41"/>
      <c r="D9" s="39" t="s">
        <v>131</v>
      </c>
      <c r="E9" s="45">
        <v>35</v>
      </c>
    </row>
    <row r="10" spans="2:6" x14ac:dyDescent="0.25">
      <c r="C10" s="42"/>
      <c r="D10" s="39" t="s">
        <v>132</v>
      </c>
      <c r="E10" s="45">
        <v>20</v>
      </c>
    </row>
    <row r="11" spans="2:6" x14ac:dyDescent="0.25">
      <c r="C11" s="38"/>
      <c r="D11" s="38"/>
      <c r="E11" s="38"/>
    </row>
    <row r="12" spans="2:6" ht="30" x14ac:dyDescent="0.25">
      <c r="C12" s="40" t="s">
        <v>126</v>
      </c>
      <c r="D12" s="32" t="s">
        <v>129</v>
      </c>
      <c r="E12" s="45">
        <v>20</v>
      </c>
    </row>
    <row r="13" spans="2:6" x14ac:dyDescent="0.25">
      <c r="C13" s="41"/>
      <c r="D13" s="39" t="s">
        <v>130</v>
      </c>
      <c r="E13" s="45">
        <v>30</v>
      </c>
    </row>
    <row r="14" spans="2:6" x14ac:dyDescent="0.25">
      <c r="C14" s="41"/>
      <c r="D14" s="39" t="s">
        <v>131</v>
      </c>
      <c r="E14" s="45">
        <v>35</v>
      </c>
    </row>
    <row r="15" spans="2:6" x14ac:dyDescent="0.25">
      <c r="C15" s="42"/>
      <c r="D15" s="39" t="s">
        <v>132</v>
      </c>
      <c r="E15" s="45">
        <v>20</v>
      </c>
    </row>
  </sheetData>
  <mergeCells count="3">
    <mergeCell ref="C6:C10"/>
    <mergeCell ref="C12:C15"/>
    <mergeCell ref="B3:F3"/>
  </mergeCells>
  <pageMargins left="0.75" right="0.75" top="1" bottom="1" header="0.5" footer="0.5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3"/>
  <sheetViews>
    <sheetView tabSelected="1" zoomScaleNormal="100" workbookViewId="0">
      <selection activeCell="C172" sqref="C172"/>
    </sheetView>
  </sheetViews>
  <sheetFormatPr baseColWidth="10" defaultColWidth="9.140625" defaultRowHeight="15" x14ac:dyDescent="0.25"/>
  <cols>
    <col min="1" max="1" width="28.5703125" bestFit="1" customWidth="1"/>
    <col min="2" max="2" width="23" customWidth="1"/>
    <col min="3" max="3" width="14.5703125" customWidth="1"/>
    <col min="4" max="4" width="13.42578125" customWidth="1"/>
    <col min="5" max="5" width="8.7109375" customWidth="1"/>
    <col min="6" max="6" width="20.7109375" customWidth="1"/>
    <col min="7" max="7" width="17.85546875" customWidth="1"/>
  </cols>
  <sheetData>
    <row r="1" spans="1:13" ht="36" x14ac:dyDescent="0.55000000000000004">
      <c r="A1" s="17" t="s">
        <v>86</v>
      </c>
      <c r="B1" s="17"/>
      <c r="C1" s="17"/>
      <c r="D1" s="17"/>
      <c r="E1" s="17"/>
      <c r="F1" s="17"/>
      <c r="G1" s="17"/>
    </row>
    <row r="3" spans="1:13" ht="45" x14ac:dyDescent="0.25">
      <c r="B3" s="12" t="s">
        <v>6</v>
      </c>
      <c r="C3" s="12" t="s">
        <v>7</v>
      </c>
      <c r="D3" s="19" t="s">
        <v>28</v>
      </c>
      <c r="E3" s="19"/>
      <c r="F3" s="19"/>
      <c r="G3" s="4"/>
      <c r="H3" s="4"/>
      <c r="I3" s="18" t="s">
        <v>93</v>
      </c>
      <c r="J3" s="18"/>
      <c r="K3" s="18"/>
      <c r="L3" s="18"/>
      <c r="M3" s="18"/>
    </row>
    <row r="4" spans="1:13" x14ac:dyDescent="0.25">
      <c r="B4" s="5" t="s">
        <v>8</v>
      </c>
      <c r="C4" s="33">
        <f>SUM(G15,G22,G28,G38)</f>
        <v>221.5</v>
      </c>
      <c r="D4" s="18" t="s">
        <v>29</v>
      </c>
      <c r="E4" s="18"/>
      <c r="F4" s="18"/>
      <c r="G4" s="4"/>
      <c r="H4" s="4"/>
      <c r="I4" s="18"/>
      <c r="J4" s="18"/>
      <c r="K4" s="18"/>
      <c r="L4" s="18"/>
      <c r="M4" s="18"/>
    </row>
    <row r="5" spans="1:13" x14ac:dyDescent="0.25">
      <c r="B5" s="5" t="s">
        <v>9</v>
      </c>
      <c r="C5" s="33">
        <f>SUM(G48,G54,G60,G66,G72,G78)</f>
        <v>840</v>
      </c>
      <c r="D5" s="18" t="s">
        <v>30</v>
      </c>
      <c r="E5" s="18"/>
      <c r="F5" s="18"/>
      <c r="G5" s="4"/>
      <c r="H5" s="4"/>
      <c r="I5" s="18"/>
      <c r="J5" s="18"/>
      <c r="K5" s="18"/>
      <c r="L5" s="18"/>
      <c r="M5" s="18"/>
    </row>
    <row r="6" spans="1:13" x14ac:dyDescent="0.25">
      <c r="B6" s="5" t="s">
        <v>26</v>
      </c>
      <c r="C6" s="33">
        <f>SUM(G87,E94)</f>
        <v>840</v>
      </c>
      <c r="D6" s="18" t="s">
        <v>31</v>
      </c>
      <c r="E6" s="18"/>
      <c r="F6" s="18"/>
      <c r="G6" s="4"/>
      <c r="H6" s="4"/>
      <c r="I6" s="18"/>
      <c r="J6" s="18"/>
      <c r="K6" s="18"/>
      <c r="L6" s="18"/>
      <c r="M6" s="18"/>
    </row>
    <row r="7" spans="1:13" x14ac:dyDescent="0.25">
      <c r="B7" s="5" t="s">
        <v>27</v>
      </c>
      <c r="C7" s="33">
        <f>E160</f>
        <v>1320</v>
      </c>
      <c r="D7" s="18" t="s">
        <v>32</v>
      </c>
      <c r="E7" s="18"/>
      <c r="F7" s="18"/>
      <c r="G7" s="4"/>
      <c r="H7" s="4"/>
      <c r="I7" s="4"/>
      <c r="J7" s="4"/>
      <c r="K7" s="4"/>
      <c r="L7" s="4"/>
      <c r="M7" s="4"/>
    </row>
    <row r="8" spans="1:13" x14ac:dyDescent="0.25">
      <c r="B8" s="21" t="s">
        <v>148</v>
      </c>
      <c r="C8" s="46">
        <f>E173</f>
        <v>1080</v>
      </c>
      <c r="D8" s="27" t="s">
        <v>149</v>
      </c>
      <c r="E8" s="27"/>
      <c r="F8" s="27"/>
      <c r="G8" s="4"/>
      <c r="H8" s="4"/>
      <c r="I8" s="4"/>
      <c r="J8" s="4"/>
      <c r="K8" s="4"/>
      <c r="L8" s="4"/>
      <c r="M8" s="4"/>
    </row>
    <row r="9" spans="1:13" x14ac:dyDescent="0.25">
      <c r="B9" s="11" t="s">
        <v>5</v>
      </c>
      <c r="C9" s="47">
        <f>SUM(C4:C8)</f>
        <v>4301.5</v>
      </c>
      <c r="D9" s="43"/>
      <c r="E9" s="43"/>
      <c r="F9" s="43"/>
      <c r="G9" s="4"/>
      <c r="H9" s="4"/>
      <c r="I9" s="4"/>
      <c r="J9" s="4"/>
      <c r="K9" s="4"/>
      <c r="L9" s="4"/>
      <c r="M9" s="4"/>
    </row>
    <row r="10" spans="1:13" ht="31.5" x14ac:dyDescent="0.25">
      <c r="A10" s="20" t="s">
        <v>33</v>
      </c>
      <c r="B10" s="20"/>
      <c r="C10" s="20"/>
      <c r="D10" s="20"/>
      <c r="E10" s="20"/>
      <c r="F10" s="20"/>
      <c r="G10" s="20"/>
      <c r="H10" s="4"/>
      <c r="I10" s="4"/>
      <c r="J10" s="4"/>
      <c r="K10" s="4"/>
      <c r="L10" s="4"/>
      <c r="M10" s="4"/>
    </row>
    <row r="11" spans="1:1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30" x14ac:dyDescent="0.25">
      <c r="A12" s="10" t="s">
        <v>34</v>
      </c>
      <c r="B12" s="10" t="s">
        <v>2</v>
      </c>
      <c r="C12" s="11" t="s">
        <v>44</v>
      </c>
      <c r="D12" s="11" t="s">
        <v>45</v>
      </c>
      <c r="E12" s="10" t="s">
        <v>3</v>
      </c>
      <c r="F12" s="10" t="s">
        <v>36</v>
      </c>
      <c r="G12" s="10" t="s">
        <v>4</v>
      </c>
      <c r="H12" s="4"/>
      <c r="I12" s="4"/>
      <c r="J12" s="4"/>
      <c r="K12" s="4"/>
      <c r="L12" s="4"/>
      <c r="M12" s="4"/>
    </row>
    <row r="13" spans="1:13" ht="30" x14ac:dyDescent="0.25">
      <c r="A13" s="5" t="s">
        <v>48</v>
      </c>
      <c r="B13" s="5" t="s">
        <v>88</v>
      </c>
      <c r="C13" s="9">
        <v>45978</v>
      </c>
      <c r="D13" s="9">
        <v>45982</v>
      </c>
      <c r="E13" s="5">
        <v>4</v>
      </c>
      <c r="F13" s="5">
        <v>10</v>
      </c>
      <c r="G13" s="33">
        <f>E13*F13</f>
        <v>40</v>
      </c>
      <c r="H13" s="4"/>
      <c r="I13" s="4"/>
      <c r="J13" s="4"/>
      <c r="K13" s="4"/>
      <c r="L13" s="4"/>
      <c r="M13" s="4"/>
    </row>
    <row r="14" spans="1:13" ht="30" x14ac:dyDescent="0.25">
      <c r="A14" s="5" t="s">
        <v>48</v>
      </c>
      <c r="B14" s="5" t="s">
        <v>89</v>
      </c>
      <c r="C14" s="9">
        <v>45978</v>
      </c>
      <c r="D14" s="9">
        <v>45982</v>
      </c>
      <c r="E14" s="5">
        <v>4</v>
      </c>
      <c r="F14" s="5">
        <v>10</v>
      </c>
      <c r="G14" s="33">
        <f>E14*F14</f>
        <v>40</v>
      </c>
      <c r="H14" s="4"/>
      <c r="I14" s="4"/>
      <c r="J14" s="4"/>
      <c r="K14" s="4"/>
      <c r="L14" s="4"/>
      <c r="M14" s="4"/>
    </row>
    <row r="15" spans="1:13" x14ac:dyDescent="0.25">
      <c r="A15" s="5"/>
      <c r="B15" s="8" t="s">
        <v>5</v>
      </c>
      <c r="C15" s="5"/>
      <c r="D15" s="5"/>
      <c r="E15" s="5"/>
      <c r="F15" s="5"/>
      <c r="G15" s="23">
        <f>SUM(G13:G14)</f>
        <v>80</v>
      </c>
      <c r="H15" s="4"/>
      <c r="I15" s="4"/>
      <c r="J15" s="4"/>
      <c r="K15" s="4"/>
      <c r="L15" s="4"/>
      <c r="M15" s="4"/>
    </row>
    <row r="16" spans="1:1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4"/>
      <c r="B17" s="4"/>
      <c r="C17" s="4"/>
      <c r="D17" s="4"/>
      <c r="E17" s="4"/>
      <c r="F17" s="4"/>
      <c r="G17" s="4"/>
      <c r="H17" s="4"/>
      <c r="I17" s="4"/>
      <c r="J17" s="6"/>
      <c r="K17" s="4"/>
      <c r="L17" s="4"/>
      <c r="M17" s="4"/>
    </row>
    <row r="18" spans="1:13" ht="30" x14ac:dyDescent="0.25">
      <c r="A18" s="10" t="s">
        <v>34</v>
      </c>
      <c r="B18" s="10" t="s">
        <v>2</v>
      </c>
      <c r="C18" s="13" t="s">
        <v>44</v>
      </c>
      <c r="D18" s="13" t="s">
        <v>45</v>
      </c>
      <c r="E18" s="10" t="s">
        <v>3</v>
      </c>
      <c r="F18" s="10" t="s">
        <v>36</v>
      </c>
      <c r="G18" s="10" t="s">
        <v>4</v>
      </c>
      <c r="H18" s="4"/>
      <c r="I18" s="18" t="s">
        <v>92</v>
      </c>
      <c r="J18" s="18"/>
      <c r="K18" s="18"/>
      <c r="L18" s="18"/>
      <c r="M18" s="18"/>
    </row>
    <row r="19" spans="1:13" ht="30" customHeight="1" x14ac:dyDescent="0.25">
      <c r="A19" s="5" t="s">
        <v>37</v>
      </c>
      <c r="B19" s="5" t="s">
        <v>87</v>
      </c>
      <c r="C19" s="14">
        <v>45986</v>
      </c>
      <c r="D19" s="14">
        <v>45986</v>
      </c>
      <c r="E19" s="5">
        <v>0.75</v>
      </c>
      <c r="F19" s="5">
        <v>0</v>
      </c>
      <c r="G19" s="33">
        <f>E19*F19</f>
        <v>0</v>
      </c>
      <c r="H19" s="4"/>
      <c r="I19" s="18"/>
      <c r="J19" s="18"/>
      <c r="K19" s="18"/>
      <c r="L19" s="18"/>
      <c r="M19" s="18"/>
    </row>
    <row r="20" spans="1:13" ht="30" x14ac:dyDescent="0.25">
      <c r="A20" s="5" t="s">
        <v>37</v>
      </c>
      <c r="B20" s="5" t="s">
        <v>88</v>
      </c>
      <c r="C20" s="14">
        <v>45986</v>
      </c>
      <c r="D20" s="14">
        <v>45986</v>
      </c>
      <c r="E20" s="5">
        <v>0.75</v>
      </c>
      <c r="F20" s="5">
        <v>15</v>
      </c>
      <c r="G20" s="33">
        <f t="shared" ref="G20:G21" si="0">E20*F20</f>
        <v>11.25</v>
      </c>
      <c r="H20" s="4"/>
      <c r="I20" s="18"/>
      <c r="J20" s="18"/>
      <c r="K20" s="18"/>
      <c r="L20" s="18"/>
      <c r="M20" s="18"/>
    </row>
    <row r="21" spans="1:13" ht="30" x14ac:dyDescent="0.25">
      <c r="A21" s="5" t="s">
        <v>37</v>
      </c>
      <c r="B21" s="5" t="s">
        <v>89</v>
      </c>
      <c r="C21" s="14">
        <v>45986</v>
      </c>
      <c r="D21" s="14">
        <v>45986</v>
      </c>
      <c r="E21" s="5">
        <v>0.75</v>
      </c>
      <c r="F21" s="5">
        <v>15</v>
      </c>
      <c r="G21" s="33">
        <f t="shared" si="0"/>
        <v>11.25</v>
      </c>
      <c r="H21" s="4"/>
      <c r="I21" s="18"/>
      <c r="J21" s="18"/>
      <c r="K21" s="18"/>
      <c r="L21" s="18"/>
      <c r="M21" s="18"/>
    </row>
    <row r="22" spans="1:13" x14ac:dyDescent="0.25">
      <c r="A22" s="3"/>
      <c r="B22" s="5" t="s">
        <v>5</v>
      </c>
      <c r="C22" s="3"/>
      <c r="D22" s="3"/>
      <c r="E22" s="3"/>
      <c r="F22" s="3"/>
      <c r="G22" s="48">
        <f>SUM(G19:G21)</f>
        <v>22.5</v>
      </c>
      <c r="H22" s="4"/>
      <c r="I22" s="2"/>
      <c r="J22" s="2"/>
      <c r="K22" s="2"/>
      <c r="L22" s="2"/>
      <c r="M22" s="2"/>
    </row>
    <row r="23" spans="1:13" x14ac:dyDescent="0.25">
      <c r="A23" s="4"/>
      <c r="B23" s="4"/>
      <c r="C23" s="4"/>
      <c r="D23" s="4"/>
      <c r="E23" s="4"/>
      <c r="F23" s="4"/>
      <c r="G23" s="4"/>
      <c r="H23" s="4"/>
    </row>
    <row r="24" spans="1:13" x14ac:dyDescent="0.25">
      <c r="A24" s="4"/>
      <c r="B24" s="4"/>
      <c r="C24" s="4"/>
      <c r="D24" s="4"/>
      <c r="E24" s="4"/>
      <c r="F24" s="4"/>
      <c r="G24" s="4"/>
      <c r="H24" s="4"/>
    </row>
    <row r="25" spans="1:13" ht="30" x14ac:dyDescent="0.25">
      <c r="A25" s="10" t="s">
        <v>34</v>
      </c>
      <c r="B25" s="10" t="s">
        <v>2</v>
      </c>
      <c r="C25" s="13" t="s">
        <v>44</v>
      </c>
      <c r="D25" s="13" t="s">
        <v>45</v>
      </c>
      <c r="E25" s="10" t="s">
        <v>3</v>
      </c>
      <c r="F25" s="10" t="s">
        <v>36</v>
      </c>
      <c r="G25" s="10" t="s">
        <v>4</v>
      </c>
      <c r="H25" s="4"/>
    </row>
    <row r="26" spans="1:13" ht="30" x14ac:dyDescent="0.25">
      <c r="A26" s="5" t="s">
        <v>49</v>
      </c>
      <c r="B26" s="5" t="s">
        <v>39</v>
      </c>
      <c r="C26" s="14">
        <v>45999</v>
      </c>
      <c r="D26" s="14">
        <v>46002</v>
      </c>
      <c r="E26" s="5">
        <v>4</v>
      </c>
      <c r="F26" s="5">
        <v>10</v>
      </c>
      <c r="G26" s="33">
        <f>E26*F26</f>
        <v>40</v>
      </c>
      <c r="H26" s="4"/>
    </row>
    <row r="27" spans="1:13" ht="30" x14ac:dyDescent="0.25">
      <c r="A27" s="5" t="s">
        <v>49</v>
      </c>
      <c r="B27" s="5" t="s">
        <v>40</v>
      </c>
      <c r="C27" s="14">
        <v>45999</v>
      </c>
      <c r="D27" s="14">
        <v>46002</v>
      </c>
      <c r="E27" s="5">
        <v>4</v>
      </c>
      <c r="F27" s="5">
        <v>10</v>
      </c>
      <c r="G27" s="33">
        <f>E27*F27</f>
        <v>40</v>
      </c>
      <c r="H27" s="4"/>
      <c r="I27" s="4"/>
      <c r="J27" s="4"/>
      <c r="K27" s="4"/>
      <c r="L27" s="4"/>
      <c r="M27" s="4"/>
    </row>
    <row r="28" spans="1:13" x14ac:dyDescent="0.25">
      <c r="A28" s="5"/>
      <c r="B28" s="8" t="s">
        <v>5</v>
      </c>
      <c r="C28" s="3"/>
      <c r="D28" s="3"/>
      <c r="E28" s="5"/>
      <c r="F28" s="5"/>
      <c r="G28" s="23">
        <f>SUM(G26:G27)</f>
        <v>80</v>
      </c>
      <c r="H28" s="4"/>
      <c r="I28" s="4"/>
      <c r="J28" s="4"/>
      <c r="K28" s="4"/>
      <c r="L28" s="4"/>
      <c r="M28" s="4"/>
    </row>
    <row r="29" spans="1:1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30" x14ac:dyDescent="0.25">
      <c r="A31" s="10" t="s">
        <v>34</v>
      </c>
      <c r="B31" s="10" t="s">
        <v>2</v>
      </c>
      <c r="C31" s="13" t="s">
        <v>44</v>
      </c>
      <c r="D31" s="13" t="s">
        <v>46</v>
      </c>
      <c r="E31" s="10" t="s">
        <v>3</v>
      </c>
      <c r="F31" s="10" t="s">
        <v>36</v>
      </c>
      <c r="G31" s="10" t="s">
        <v>4</v>
      </c>
      <c r="H31" s="4"/>
      <c r="I31" s="4"/>
      <c r="J31" s="4"/>
      <c r="K31" s="4"/>
      <c r="L31" s="4"/>
      <c r="M31" s="4"/>
    </row>
    <row r="32" spans="1:13" ht="30" x14ac:dyDescent="0.25">
      <c r="A32" s="5" t="s">
        <v>38</v>
      </c>
      <c r="B32" s="5" t="s">
        <v>88</v>
      </c>
      <c r="C32" s="14">
        <v>46003</v>
      </c>
      <c r="D32" s="14">
        <v>46003</v>
      </c>
      <c r="E32" s="5">
        <v>0.75</v>
      </c>
      <c r="F32" s="5">
        <v>20</v>
      </c>
      <c r="G32" s="33">
        <f>E32*F32</f>
        <v>15</v>
      </c>
      <c r="H32" s="4"/>
      <c r="I32" s="4"/>
      <c r="J32" s="4"/>
      <c r="K32" s="4"/>
      <c r="L32" s="4"/>
      <c r="M32" s="4"/>
    </row>
    <row r="33" spans="1:13" ht="30" x14ac:dyDescent="0.25">
      <c r="A33" s="5" t="s">
        <v>38</v>
      </c>
      <c r="B33" s="5" t="s">
        <v>89</v>
      </c>
      <c r="C33" s="14">
        <v>46003</v>
      </c>
      <c r="D33" s="14">
        <v>46003</v>
      </c>
      <c r="E33" s="5">
        <v>0.75</v>
      </c>
      <c r="F33" s="5">
        <v>20</v>
      </c>
      <c r="G33" s="33">
        <f t="shared" ref="G33:G37" si="1">E33*F33</f>
        <v>15</v>
      </c>
      <c r="H33" s="4"/>
      <c r="I33" s="4"/>
      <c r="J33" s="4"/>
      <c r="K33" s="4"/>
      <c r="L33" s="4"/>
      <c r="M33" s="4"/>
    </row>
    <row r="34" spans="1:13" ht="30" x14ac:dyDescent="0.25">
      <c r="A34" s="5" t="s">
        <v>38</v>
      </c>
      <c r="B34" s="5" t="s">
        <v>41</v>
      </c>
      <c r="C34" s="14">
        <v>46003</v>
      </c>
      <c r="D34" s="14">
        <v>46003</v>
      </c>
      <c r="E34" s="5">
        <v>0.75</v>
      </c>
      <c r="F34" s="5">
        <v>3</v>
      </c>
      <c r="G34" s="33">
        <f t="shared" si="1"/>
        <v>2.25</v>
      </c>
      <c r="H34" s="4"/>
      <c r="I34" s="4"/>
      <c r="J34" s="4"/>
      <c r="K34" s="4"/>
      <c r="L34" s="4"/>
      <c r="M34" s="4"/>
    </row>
    <row r="35" spans="1:13" ht="30" x14ac:dyDescent="0.25">
      <c r="A35" s="5" t="s">
        <v>38</v>
      </c>
      <c r="B35" s="5" t="s">
        <v>42</v>
      </c>
      <c r="C35" s="14">
        <v>46003</v>
      </c>
      <c r="D35" s="14">
        <v>46003</v>
      </c>
      <c r="E35" s="5">
        <v>0.75</v>
      </c>
      <c r="F35" s="5">
        <v>3</v>
      </c>
      <c r="G35" s="33">
        <f t="shared" si="1"/>
        <v>2.25</v>
      </c>
      <c r="H35" s="4"/>
      <c r="I35" s="4"/>
      <c r="J35" s="4"/>
      <c r="K35" s="4"/>
      <c r="L35" s="4"/>
      <c r="M35" s="4"/>
    </row>
    <row r="36" spans="1:13" ht="30" x14ac:dyDescent="0.25">
      <c r="A36" s="5" t="s">
        <v>38</v>
      </c>
      <c r="B36" s="5" t="s">
        <v>47</v>
      </c>
      <c r="C36" s="14">
        <v>46003</v>
      </c>
      <c r="D36" s="14">
        <v>46003</v>
      </c>
      <c r="E36" s="5">
        <v>0.75</v>
      </c>
      <c r="F36" s="5">
        <v>3</v>
      </c>
      <c r="G36" s="33">
        <f t="shared" si="1"/>
        <v>2.25</v>
      </c>
      <c r="H36" s="4"/>
      <c r="I36" s="4"/>
      <c r="J36" s="4"/>
      <c r="K36" s="4"/>
      <c r="L36" s="4"/>
      <c r="M36" s="4"/>
    </row>
    <row r="37" spans="1:13" x14ac:dyDescent="0.25">
      <c r="A37" s="5" t="s">
        <v>38</v>
      </c>
      <c r="B37" s="5" t="s">
        <v>43</v>
      </c>
      <c r="C37" s="14">
        <v>46003</v>
      </c>
      <c r="D37" s="14">
        <v>46003</v>
      </c>
      <c r="E37" s="5">
        <v>0.75</v>
      </c>
      <c r="F37" s="5">
        <v>3</v>
      </c>
      <c r="G37" s="33">
        <f t="shared" si="1"/>
        <v>2.25</v>
      </c>
      <c r="H37" s="4"/>
      <c r="I37" s="4"/>
      <c r="J37" s="4"/>
      <c r="K37" s="4"/>
      <c r="L37" s="4"/>
      <c r="M37" s="4"/>
    </row>
    <row r="38" spans="1:13" x14ac:dyDescent="0.25">
      <c r="A38" s="5"/>
      <c r="B38" s="8" t="s">
        <v>5</v>
      </c>
      <c r="C38" s="3"/>
      <c r="D38" s="3"/>
      <c r="E38" s="5"/>
      <c r="F38" s="5"/>
      <c r="G38" s="48">
        <f>SUM(G32:G37)</f>
        <v>39</v>
      </c>
      <c r="H38" s="4"/>
      <c r="I38" s="4"/>
      <c r="J38" s="4"/>
      <c r="K38" s="4"/>
      <c r="L38" s="4"/>
      <c r="M38" s="4"/>
    </row>
    <row r="39" spans="1:1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31.5" x14ac:dyDescent="0.25">
      <c r="A43" s="16" t="s">
        <v>50</v>
      </c>
      <c r="B43" s="16"/>
      <c r="C43" s="16"/>
      <c r="D43" s="16"/>
      <c r="E43" s="16"/>
      <c r="F43" s="16"/>
      <c r="G43" s="16"/>
      <c r="H43" s="4"/>
      <c r="I43" s="4"/>
      <c r="J43" s="4"/>
      <c r="K43" s="4"/>
      <c r="L43" s="4"/>
      <c r="M43" s="4"/>
    </row>
    <row r="44" spans="1:1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ht="30" x14ac:dyDescent="0.25">
      <c r="A45" s="10" t="s">
        <v>34</v>
      </c>
      <c r="B45" s="10" t="s">
        <v>2</v>
      </c>
      <c r="C45" s="13" t="s">
        <v>44</v>
      </c>
      <c r="D45" s="13" t="s">
        <v>46</v>
      </c>
      <c r="E45" s="10" t="s">
        <v>3</v>
      </c>
      <c r="F45" s="10" t="s">
        <v>36</v>
      </c>
      <c r="G45" s="10" t="s">
        <v>4</v>
      </c>
      <c r="H45" s="4"/>
      <c r="I45" s="4"/>
      <c r="J45" s="4"/>
      <c r="K45" s="4"/>
      <c r="L45" s="4"/>
      <c r="M45" s="4"/>
    </row>
    <row r="46" spans="1:13" ht="30" x14ac:dyDescent="0.25">
      <c r="A46" s="5" t="s">
        <v>53</v>
      </c>
      <c r="B46" s="5" t="s">
        <v>88</v>
      </c>
      <c r="C46" s="14">
        <v>45980</v>
      </c>
      <c r="D46" s="14">
        <v>45986</v>
      </c>
      <c r="E46" s="5">
        <v>3</v>
      </c>
      <c r="F46" s="5">
        <v>15</v>
      </c>
      <c r="G46" s="33">
        <f>E46*F46</f>
        <v>45</v>
      </c>
      <c r="H46" s="4"/>
      <c r="I46" s="4"/>
      <c r="J46" s="4"/>
      <c r="K46" s="4"/>
      <c r="L46" s="4"/>
      <c r="M46" s="4"/>
    </row>
    <row r="47" spans="1:13" ht="30" x14ac:dyDescent="0.25">
      <c r="A47" s="5" t="s">
        <v>53</v>
      </c>
      <c r="B47" s="5" t="s">
        <v>89</v>
      </c>
      <c r="C47" s="14">
        <v>45980</v>
      </c>
      <c r="D47" s="14">
        <v>45986</v>
      </c>
      <c r="E47" s="5">
        <v>3</v>
      </c>
      <c r="F47" s="5">
        <v>15</v>
      </c>
      <c r="G47" s="33">
        <f>E47*F47</f>
        <v>45</v>
      </c>
      <c r="H47" s="4"/>
      <c r="I47" s="4"/>
      <c r="J47" s="4"/>
      <c r="K47" s="4"/>
      <c r="L47" s="4"/>
      <c r="M47" s="4"/>
    </row>
    <row r="48" spans="1:13" x14ac:dyDescent="0.25">
      <c r="A48" s="5"/>
      <c r="B48" s="8" t="s">
        <v>5</v>
      </c>
      <c r="C48" s="3"/>
      <c r="D48" s="3"/>
      <c r="E48" s="5"/>
      <c r="F48" s="5"/>
      <c r="G48" s="23">
        <f>SUM(G46:G47)</f>
        <v>90</v>
      </c>
      <c r="H48" s="4"/>
      <c r="I48" s="4"/>
      <c r="J48" s="4"/>
      <c r="K48" s="4"/>
      <c r="L48" s="4"/>
      <c r="M48" s="4"/>
    </row>
    <row r="49" spans="1:1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ht="30" x14ac:dyDescent="0.25">
      <c r="A51" s="10" t="s">
        <v>34</v>
      </c>
      <c r="B51" s="10" t="s">
        <v>2</v>
      </c>
      <c r="C51" s="13" t="s">
        <v>44</v>
      </c>
      <c r="D51" s="13" t="s">
        <v>46</v>
      </c>
      <c r="E51" s="10" t="s">
        <v>3</v>
      </c>
      <c r="F51" s="10" t="s">
        <v>36</v>
      </c>
      <c r="G51" s="10" t="s">
        <v>4</v>
      </c>
      <c r="H51" s="4"/>
      <c r="I51" s="4"/>
      <c r="J51" s="4"/>
      <c r="K51" s="4"/>
      <c r="L51" s="4"/>
      <c r="M51" s="4"/>
    </row>
    <row r="52" spans="1:13" ht="30" x14ac:dyDescent="0.25">
      <c r="A52" s="5" t="s">
        <v>54</v>
      </c>
      <c r="B52" s="5" t="s">
        <v>88</v>
      </c>
      <c r="C52" s="14">
        <v>46004</v>
      </c>
      <c r="D52" s="14">
        <v>46006</v>
      </c>
      <c r="E52" s="5">
        <v>3</v>
      </c>
      <c r="F52" s="5">
        <v>15</v>
      </c>
      <c r="G52" s="33">
        <f>E52*F52</f>
        <v>45</v>
      </c>
      <c r="H52" s="4"/>
      <c r="I52" s="4"/>
      <c r="J52" s="4"/>
      <c r="K52" s="4"/>
      <c r="L52" s="4"/>
      <c r="M52" s="4"/>
    </row>
    <row r="53" spans="1:13" ht="30" x14ac:dyDescent="0.25">
      <c r="A53" s="5" t="s">
        <v>54</v>
      </c>
      <c r="B53" s="5" t="s">
        <v>89</v>
      </c>
      <c r="C53" s="14">
        <v>46004</v>
      </c>
      <c r="D53" s="14">
        <v>46006</v>
      </c>
      <c r="E53" s="5">
        <v>3</v>
      </c>
      <c r="F53" s="5">
        <v>15</v>
      </c>
      <c r="G53" s="33">
        <f>E53*F53</f>
        <v>45</v>
      </c>
      <c r="H53" s="4"/>
      <c r="I53" s="4"/>
      <c r="J53" s="4"/>
      <c r="K53" s="4"/>
      <c r="L53" s="4"/>
      <c r="M53" s="4"/>
    </row>
    <row r="54" spans="1:13" x14ac:dyDescent="0.25">
      <c r="A54" s="5"/>
      <c r="B54" s="8" t="s">
        <v>5</v>
      </c>
      <c r="C54" s="3"/>
      <c r="D54" s="3"/>
      <c r="E54" s="5"/>
      <c r="F54" s="5"/>
      <c r="G54" s="23">
        <f>SUM(G52:G53)</f>
        <v>90</v>
      </c>
      <c r="H54" s="4"/>
      <c r="I54" s="4"/>
      <c r="J54" s="4"/>
      <c r="K54" s="4"/>
      <c r="L54" s="4"/>
      <c r="M54" s="4"/>
    </row>
    <row r="55" spans="1:13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30" x14ac:dyDescent="0.25">
      <c r="A57" s="10" t="s">
        <v>34</v>
      </c>
      <c r="B57" s="10" t="s">
        <v>2</v>
      </c>
      <c r="C57" s="13" t="s">
        <v>44</v>
      </c>
      <c r="D57" s="13" t="s">
        <v>46</v>
      </c>
      <c r="E57" s="10" t="s">
        <v>3</v>
      </c>
      <c r="F57" s="10" t="s">
        <v>36</v>
      </c>
      <c r="G57" s="10" t="s">
        <v>4</v>
      </c>
      <c r="H57" s="4"/>
      <c r="I57" s="4"/>
      <c r="J57" s="4"/>
      <c r="K57" s="4"/>
      <c r="L57" s="4"/>
      <c r="M57" s="4"/>
    </row>
    <row r="58" spans="1:13" ht="30" x14ac:dyDescent="0.25">
      <c r="A58" s="5" t="s">
        <v>55</v>
      </c>
      <c r="B58" s="5" t="s">
        <v>88</v>
      </c>
      <c r="C58" s="14">
        <v>46001</v>
      </c>
      <c r="D58" s="14">
        <v>46006</v>
      </c>
      <c r="E58" s="5">
        <v>6</v>
      </c>
      <c r="F58" s="5">
        <v>20</v>
      </c>
      <c r="G58" s="33">
        <f>E58*F58</f>
        <v>120</v>
      </c>
      <c r="H58" s="4"/>
      <c r="I58" s="4"/>
      <c r="J58" s="4"/>
      <c r="K58" s="4"/>
      <c r="L58" s="4"/>
      <c r="M58" s="4"/>
    </row>
    <row r="59" spans="1:13" ht="30" x14ac:dyDescent="0.25">
      <c r="A59" s="5" t="s">
        <v>55</v>
      </c>
      <c r="B59" s="5" t="s">
        <v>89</v>
      </c>
      <c r="C59" s="14">
        <v>46001</v>
      </c>
      <c r="D59" s="14">
        <v>46006</v>
      </c>
      <c r="E59" s="5">
        <v>6</v>
      </c>
      <c r="F59" s="5">
        <v>20</v>
      </c>
      <c r="G59" s="33">
        <f>E59*F59</f>
        <v>120</v>
      </c>
      <c r="H59" s="4"/>
      <c r="I59" s="4"/>
      <c r="J59" s="4"/>
      <c r="K59" s="4"/>
      <c r="L59" s="4"/>
      <c r="M59" s="4"/>
    </row>
    <row r="60" spans="1:13" x14ac:dyDescent="0.25">
      <c r="A60" s="5"/>
      <c r="B60" s="8" t="s">
        <v>5</v>
      </c>
      <c r="C60" s="3"/>
      <c r="D60" s="3"/>
      <c r="E60" s="5"/>
      <c r="F60" s="5"/>
      <c r="G60" s="23">
        <f>SUM(G58:G59)</f>
        <v>240</v>
      </c>
      <c r="H60" s="4"/>
      <c r="I60" s="4"/>
      <c r="J60" s="4"/>
      <c r="K60" s="4"/>
      <c r="L60" s="4"/>
      <c r="M60" s="4"/>
    </row>
    <row r="61" spans="1:13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30" x14ac:dyDescent="0.25">
      <c r="A63" s="10" t="s">
        <v>34</v>
      </c>
      <c r="B63" s="10" t="s">
        <v>2</v>
      </c>
      <c r="C63" s="13" t="s">
        <v>44</v>
      </c>
      <c r="D63" s="13" t="s">
        <v>46</v>
      </c>
      <c r="E63" s="10" t="s">
        <v>3</v>
      </c>
      <c r="F63" s="10" t="s">
        <v>36</v>
      </c>
      <c r="G63" s="10" t="s">
        <v>4</v>
      </c>
      <c r="H63" s="4"/>
      <c r="I63" s="4"/>
      <c r="J63" s="4"/>
      <c r="K63" s="4"/>
      <c r="L63" s="4"/>
      <c r="M63" s="4"/>
    </row>
    <row r="64" spans="1:13" ht="30" x14ac:dyDescent="0.25">
      <c r="A64" s="5" t="s">
        <v>52</v>
      </c>
      <c r="B64" s="5" t="s">
        <v>88</v>
      </c>
      <c r="C64" s="14">
        <v>46006</v>
      </c>
      <c r="D64" s="14">
        <v>46007</v>
      </c>
      <c r="E64" s="5">
        <v>3</v>
      </c>
      <c r="F64" s="5">
        <v>15</v>
      </c>
      <c r="G64" s="33">
        <f>E64*F64</f>
        <v>45</v>
      </c>
      <c r="H64" s="4"/>
      <c r="I64" s="4"/>
      <c r="J64" s="4"/>
      <c r="K64" s="4"/>
      <c r="L64" s="4"/>
      <c r="M64" s="4"/>
    </row>
    <row r="65" spans="1:13" ht="30" x14ac:dyDescent="0.25">
      <c r="A65" s="5" t="s">
        <v>52</v>
      </c>
      <c r="B65" s="5" t="s">
        <v>89</v>
      </c>
      <c r="C65" s="14">
        <v>46006</v>
      </c>
      <c r="D65" s="14">
        <v>46007</v>
      </c>
      <c r="E65" s="5">
        <v>3</v>
      </c>
      <c r="F65" s="5">
        <v>15</v>
      </c>
      <c r="G65" s="33">
        <f>E65*F65</f>
        <v>45</v>
      </c>
      <c r="H65" s="4"/>
      <c r="I65" s="4"/>
      <c r="J65" s="4"/>
      <c r="K65" s="4"/>
      <c r="L65" s="4"/>
      <c r="M65" s="4"/>
    </row>
    <row r="66" spans="1:13" x14ac:dyDescent="0.25">
      <c r="A66" s="5"/>
      <c r="B66" s="8" t="s">
        <v>5</v>
      </c>
      <c r="C66" s="3"/>
      <c r="D66" s="3"/>
      <c r="E66" s="5"/>
      <c r="F66" s="5"/>
      <c r="G66" s="23">
        <f>SUM(G64:G65)</f>
        <v>90</v>
      </c>
      <c r="H66" s="4"/>
      <c r="I66" s="4"/>
      <c r="J66" s="4"/>
      <c r="K66" s="4"/>
      <c r="L66" s="4"/>
      <c r="M66" s="4"/>
    </row>
    <row r="67" spans="1:13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30" x14ac:dyDescent="0.25">
      <c r="A69" s="10" t="s">
        <v>34</v>
      </c>
      <c r="B69" s="10" t="s">
        <v>2</v>
      </c>
      <c r="C69" s="13" t="s">
        <v>44</v>
      </c>
      <c r="D69" s="13" t="s">
        <v>46</v>
      </c>
      <c r="E69" s="10" t="s">
        <v>3</v>
      </c>
      <c r="F69" s="10" t="s">
        <v>36</v>
      </c>
      <c r="G69" s="10" t="s">
        <v>4</v>
      </c>
      <c r="H69" s="4"/>
      <c r="I69" s="4"/>
      <c r="J69" s="4"/>
      <c r="K69" s="4"/>
      <c r="L69" s="4"/>
      <c r="M69" s="4"/>
    </row>
    <row r="70" spans="1:13" ht="30" x14ac:dyDescent="0.25">
      <c r="A70" s="5" t="s">
        <v>51</v>
      </c>
      <c r="B70" s="5" t="s">
        <v>88</v>
      </c>
      <c r="C70" s="14">
        <v>46006</v>
      </c>
      <c r="D70" s="14">
        <v>46007</v>
      </c>
      <c r="E70" s="5">
        <v>3</v>
      </c>
      <c r="F70" s="5">
        <v>15</v>
      </c>
      <c r="G70" s="33">
        <f>E70*F70</f>
        <v>45</v>
      </c>
      <c r="H70" s="4"/>
      <c r="I70" s="4"/>
      <c r="J70" s="4"/>
      <c r="K70" s="4"/>
      <c r="L70" s="4"/>
      <c r="M70" s="4"/>
    </row>
    <row r="71" spans="1:13" ht="30" x14ac:dyDescent="0.25">
      <c r="A71" s="5" t="s">
        <v>51</v>
      </c>
      <c r="B71" s="5" t="s">
        <v>89</v>
      </c>
      <c r="C71" s="14">
        <v>46006</v>
      </c>
      <c r="D71" s="14">
        <v>46007</v>
      </c>
      <c r="E71" s="5">
        <v>3</v>
      </c>
      <c r="F71" s="5">
        <v>15</v>
      </c>
      <c r="G71" s="33">
        <f>E71*F71</f>
        <v>45</v>
      </c>
      <c r="H71" s="4"/>
      <c r="I71" s="4"/>
      <c r="J71" s="4"/>
      <c r="K71" s="4"/>
      <c r="L71" s="4"/>
      <c r="M71" s="4"/>
    </row>
    <row r="72" spans="1:13" x14ac:dyDescent="0.25">
      <c r="A72" s="5"/>
      <c r="B72" s="8" t="s">
        <v>5</v>
      </c>
      <c r="C72" s="3"/>
      <c r="D72" s="3"/>
      <c r="E72" s="5"/>
      <c r="F72" s="5"/>
      <c r="G72" s="23">
        <f>SUM(G70:G71)</f>
        <v>90</v>
      </c>
      <c r="H72" s="4"/>
      <c r="I72" s="4"/>
      <c r="J72" s="4"/>
      <c r="K72" s="4"/>
      <c r="L72" s="4"/>
      <c r="M72" s="4"/>
    </row>
    <row r="73" spans="1:13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30" x14ac:dyDescent="0.25">
      <c r="A75" s="10" t="s">
        <v>34</v>
      </c>
      <c r="B75" s="10" t="s">
        <v>2</v>
      </c>
      <c r="C75" s="13" t="s">
        <v>44</v>
      </c>
      <c r="D75" s="13" t="s">
        <v>46</v>
      </c>
      <c r="E75" s="10" t="s">
        <v>3</v>
      </c>
      <c r="F75" s="10" t="s">
        <v>36</v>
      </c>
      <c r="G75" s="10" t="s">
        <v>4</v>
      </c>
      <c r="H75" s="4"/>
      <c r="I75" s="4"/>
      <c r="J75" s="4"/>
      <c r="K75" s="4"/>
      <c r="L75" s="4"/>
      <c r="M75" s="4"/>
    </row>
    <row r="76" spans="1:13" ht="30" x14ac:dyDescent="0.25">
      <c r="A76" s="5" t="s">
        <v>56</v>
      </c>
      <c r="B76" s="5" t="s">
        <v>90</v>
      </c>
      <c r="C76" s="14">
        <v>46031</v>
      </c>
      <c r="D76" s="14">
        <v>46036</v>
      </c>
      <c r="E76" s="5">
        <v>6</v>
      </c>
      <c r="F76" s="5">
        <v>20</v>
      </c>
      <c r="G76" s="33">
        <f>E76*F76</f>
        <v>120</v>
      </c>
      <c r="H76" s="4"/>
      <c r="I76" s="4"/>
      <c r="J76" s="4"/>
      <c r="K76" s="4"/>
      <c r="L76" s="4"/>
      <c r="M76" s="4"/>
    </row>
    <row r="77" spans="1:13" ht="30" x14ac:dyDescent="0.25">
      <c r="A77" s="5" t="s">
        <v>56</v>
      </c>
      <c r="B77" s="5" t="s">
        <v>91</v>
      </c>
      <c r="C77" s="14">
        <v>46031</v>
      </c>
      <c r="D77" s="14">
        <v>46036</v>
      </c>
      <c r="E77" s="5">
        <v>6</v>
      </c>
      <c r="F77" s="5">
        <v>20</v>
      </c>
      <c r="G77" s="33">
        <f>E77*F77</f>
        <v>120</v>
      </c>
      <c r="H77" s="4"/>
      <c r="I77" s="4"/>
      <c r="J77" s="4"/>
      <c r="K77" s="4"/>
      <c r="L77" s="4"/>
      <c r="M77" s="4"/>
    </row>
    <row r="78" spans="1:13" x14ac:dyDescent="0.25">
      <c r="A78" s="5"/>
      <c r="B78" s="8" t="s">
        <v>5</v>
      </c>
      <c r="C78" s="3"/>
      <c r="D78" s="3"/>
      <c r="E78" s="5"/>
      <c r="F78" s="5"/>
      <c r="G78" s="23">
        <f>SUM(G76:G77)</f>
        <v>240</v>
      </c>
      <c r="H78" s="4"/>
      <c r="I78" s="4"/>
      <c r="J78" s="4"/>
      <c r="K78" s="4"/>
      <c r="L78" s="4"/>
      <c r="M78" s="4"/>
    </row>
    <row r="79" spans="1:13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31.5" x14ac:dyDescent="0.25">
      <c r="A82" s="16" t="s">
        <v>57</v>
      </c>
      <c r="B82" s="16"/>
      <c r="C82" s="16"/>
      <c r="D82" s="16"/>
      <c r="E82" s="16"/>
      <c r="F82" s="16"/>
      <c r="G82" s="16"/>
      <c r="H82" s="4"/>
      <c r="I82" s="4"/>
      <c r="J82" s="4"/>
      <c r="K82" s="4"/>
      <c r="L82" s="4"/>
      <c r="M82" s="4"/>
    </row>
    <row r="83" spans="1:13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30" x14ac:dyDescent="0.25">
      <c r="A84" s="10" t="s">
        <v>34</v>
      </c>
      <c r="B84" s="10" t="s">
        <v>2</v>
      </c>
      <c r="C84" s="13" t="s">
        <v>44</v>
      </c>
      <c r="D84" s="13" t="s">
        <v>46</v>
      </c>
      <c r="E84" s="10" t="s">
        <v>3</v>
      </c>
      <c r="F84" s="10" t="s">
        <v>36</v>
      </c>
      <c r="G84" s="10" t="s">
        <v>4</v>
      </c>
      <c r="H84" s="4"/>
      <c r="I84" s="4"/>
      <c r="J84" s="4"/>
      <c r="K84" s="4"/>
      <c r="L84" s="4"/>
      <c r="M84" s="4"/>
    </row>
    <row r="85" spans="1:13" ht="30" x14ac:dyDescent="0.25">
      <c r="A85" s="5" t="s">
        <v>58</v>
      </c>
      <c r="B85" s="5" t="s">
        <v>88</v>
      </c>
      <c r="C85" s="14">
        <v>45994</v>
      </c>
      <c r="D85" s="14">
        <v>46007</v>
      </c>
      <c r="E85" s="5">
        <v>6</v>
      </c>
      <c r="F85" s="5">
        <v>20</v>
      </c>
      <c r="G85" s="33">
        <f>E85*F85</f>
        <v>120</v>
      </c>
      <c r="H85" s="4"/>
      <c r="I85" s="4"/>
      <c r="J85" s="4"/>
      <c r="K85" s="4"/>
      <c r="L85" s="4"/>
      <c r="M85" s="4"/>
    </row>
    <row r="86" spans="1:13" ht="30" x14ac:dyDescent="0.25">
      <c r="A86" s="5" t="s">
        <v>58</v>
      </c>
      <c r="B86" s="5" t="s">
        <v>89</v>
      </c>
      <c r="C86" s="14">
        <v>45994</v>
      </c>
      <c r="D86" s="14">
        <v>46007</v>
      </c>
      <c r="E86" s="5">
        <v>6</v>
      </c>
      <c r="F86" s="5">
        <v>20</v>
      </c>
      <c r="G86" s="33">
        <f>E86*F86</f>
        <v>120</v>
      </c>
      <c r="H86" s="4"/>
      <c r="I86" s="4"/>
      <c r="J86" s="4"/>
      <c r="K86" s="4"/>
      <c r="L86" s="4"/>
      <c r="M86" s="4"/>
    </row>
    <row r="87" spans="1:13" x14ac:dyDescent="0.25">
      <c r="A87" s="5"/>
      <c r="B87" s="8" t="s">
        <v>5</v>
      </c>
      <c r="C87" s="3"/>
      <c r="D87" s="3"/>
      <c r="E87" s="5"/>
      <c r="F87" s="5"/>
      <c r="G87" s="23">
        <f>SUM(G85:G86)</f>
        <v>240</v>
      </c>
      <c r="H87" s="4"/>
      <c r="I87" s="4"/>
      <c r="J87" s="4"/>
      <c r="K87" s="4"/>
      <c r="L87" s="4"/>
      <c r="M87" s="4"/>
    </row>
    <row r="88" spans="1:13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30" x14ac:dyDescent="0.25">
      <c r="A89" s="10" t="s">
        <v>34</v>
      </c>
      <c r="B89" s="10" t="s">
        <v>2</v>
      </c>
      <c r="C89" s="10" t="s">
        <v>3</v>
      </c>
      <c r="D89" s="10" t="s">
        <v>36</v>
      </c>
      <c r="E89" s="10" t="s">
        <v>4</v>
      </c>
      <c r="F89" s="4"/>
      <c r="G89" s="4"/>
      <c r="H89" s="4"/>
      <c r="I89" s="4"/>
      <c r="J89" s="4"/>
      <c r="K89" s="4"/>
      <c r="L89" s="4"/>
      <c r="M89" s="4"/>
    </row>
    <row r="90" spans="1:13" ht="30" x14ac:dyDescent="0.25">
      <c r="A90" s="5" t="s">
        <v>59</v>
      </c>
      <c r="B90" s="5" t="s">
        <v>88</v>
      </c>
      <c r="C90" s="5">
        <v>10</v>
      </c>
      <c r="D90" s="5">
        <v>20</v>
      </c>
      <c r="E90" s="33">
        <f>C90*D90</f>
        <v>200</v>
      </c>
      <c r="F90" s="4"/>
      <c r="G90" s="4"/>
      <c r="H90" s="4"/>
      <c r="I90" s="4"/>
      <c r="J90" s="4"/>
      <c r="K90" s="4"/>
      <c r="L90" s="4"/>
      <c r="M90" s="4"/>
    </row>
    <row r="91" spans="1:13" ht="30" x14ac:dyDescent="0.25">
      <c r="A91" s="5" t="s">
        <v>59</v>
      </c>
      <c r="B91" s="5" t="s">
        <v>89</v>
      </c>
      <c r="C91" s="5">
        <v>10</v>
      </c>
      <c r="D91" s="5">
        <v>20</v>
      </c>
      <c r="E91" s="33">
        <f t="shared" ref="E91:E93" si="2">C91*D91</f>
        <v>200</v>
      </c>
      <c r="F91" s="4"/>
      <c r="G91" s="4"/>
      <c r="H91" s="4"/>
      <c r="I91" s="4"/>
      <c r="J91" s="4"/>
      <c r="K91" s="4"/>
      <c r="L91" s="4"/>
      <c r="M91" s="4"/>
    </row>
    <row r="92" spans="1:13" ht="30" x14ac:dyDescent="0.25">
      <c r="A92" s="5" t="s">
        <v>56</v>
      </c>
      <c r="B92" s="5" t="s">
        <v>88</v>
      </c>
      <c r="C92" s="5">
        <v>4</v>
      </c>
      <c r="D92" s="5">
        <v>20</v>
      </c>
      <c r="E92" s="33">
        <f t="shared" si="2"/>
        <v>80</v>
      </c>
      <c r="F92" s="4"/>
      <c r="G92" s="4"/>
      <c r="H92" s="4"/>
      <c r="I92" s="4"/>
      <c r="J92" s="4"/>
      <c r="K92" s="4"/>
      <c r="L92" s="4"/>
      <c r="M92" s="4"/>
    </row>
    <row r="93" spans="1:13" ht="30" x14ac:dyDescent="0.25">
      <c r="A93" s="5" t="s">
        <v>56</v>
      </c>
      <c r="B93" s="5" t="s">
        <v>89</v>
      </c>
      <c r="C93" s="5">
        <v>6</v>
      </c>
      <c r="D93" s="5">
        <v>20</v>
      </c>
      <c r="E93" s="33">
        <f t="shared" si="2"/>
        <v>120</v>
      </c>
      <c r="F93" s="4"/>
      <c r="G93" s="4"/>
      <c r="H93" s="4"/>
      <c r="I93" s="4"/>
      <c r="J93" s="4"/>
      <c r="K93" s="4"/>
      <c r="L93" s="4"/>
      <c r="M93" s="4"/>
    </row>
    <row r="94" spans="1:13" x14ac:dyDescent="0.25">
      <c r="A94" s="5"/>
      <c r="B94" s="8" t="s">
        <v>5</v>
      </c>
      <c r="C94" s="5"/>
      <c r="D94" s="5"/>
      <c r="E94" s="23">
        <f>SUM(E90:E93)</f>
        <v>600</v>
      </c>
      <c r="F94" s="4"/>
      <c r="G94" s="4"/>
      <c r="H94" s="4"/>
      <c r="I94" s="4"/>
      <c r="J94" s="4"/>
      <c r="K94" s="4"/>
      <c r="L94" s="4"/>
      <c r="M94" s="4"/>
    </row>
    <row r="95" spans="1:13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25">
      <c r="F96" s="4"/>
      <c r="G96" s="4"/>
      <c r="H96" s="4"/>
      <c r="I96" s="4"/>
      <c r="J96" s="4"/>
      <c r="K96" s="4"/>
      <c r="L96" s="4"/>
      <c r="M96" s="4"/>
    </row>
    <row r="97" spans="1:13" ht="30" x14ac:dyDescent="0.25">
      <c r="A97" s="10" t="s">
        <v>64</v>
      </c>
      <c r="B97" s="10" t="s">
        <v>10</v>
      </c>
      <c r="C97" s="10" t="s">
        <v>11</v>
      </c>
      <c r="D97" s="10" t="s">
        <v>12</v>
      </c>
      <c r="E97" s="10" t="s">
        <v>4</v>
      </c>
      <c r="F97" s="4"/>
      <c r="G97" s="4"/>
      <c r="H97" s="4"/>
      <c r="I97" s="4"/>
      <c r="J97" s="4"/>
      <c r="K97" s="4"/>
      <c r="L97" s="4"/>
      <c r="M97" s="4"/>
    </row>
    <row r="98" spans="1:13" x14ac:dyDescent="0.25">
      <c r="A98" s="5" t="s">
        <v>61</v>
      </c>
      <c r="B98" s="5" t="s">
        <v>13</v>
      </c>
      <c r="C98" s="5">
        <v>3</v>
      </c>
      <c r="D98" s="5">
        <v>25</v>
      </c>
      <c r="E98" s="33">
        <f>C98*D98</f>
        <v>75</v>
      </c>
      <c r="F98" s="4"/>
      <c r="G98" s="4"/>
      <c r="H98" s="4"/>
      <c r="I98" s="4"/>
      <c r="J98" s="4"/>
      <c r="K98" s="4"/>
      <c r="L98" s="4"/>
      <c r="M98" s="4"/>
    </row>
    <row r="99" spans="1:13" x14ac:dyDescent="0.25">
      <c r="A99" s="5" t="s">
        <v>62</v>
      </c>
      <c r="B99" s="5" t="s">
        <v>13</v>
      </c>
      <c r="C99" s="5">
        <v>3</v>
      </c>
      <c r="D99" s="5">
        <v>20</v>
      </c>
      <c r="E99" s="33">
        <f t="shared" ref="E99:E100" si="3">C99*D99</f>
        <v>60</v>
      </c>
      <c r="F99" s="4"/>
      <c r="G99" s="4"/>
      <c r="H99" s="4"/>
      <c r="I99" s="4"/>
      <c r="J99" s="4"/>
      <c r="K99" s="4"/>
      <c r="L99" s="4"/>
      <c r="M99" s="4"/>
    </row>
    <row r="100" spans="1:13" x14ac:dyDescent="0.25">
      <c r="A100" s="5" t="s">
        <v>65</v>
      </c>
      <c r="B100" s="5" t="s">
        <v>13</v>
      </c>
      <c r="C100" s="5">
        <v>3</v>
      </c>
      <c r="D100" s="5">
        <v>10</v>
      </c>
      <c r="E100" s="33">
        <f t="shared" si="3"/>
        <v>30</v>
      </c>
      <c r="F100" s="4"/>
      <c r="G100" s="4"/>
      <c r="H100" s="4"/>
      <c r="I100" s="4"/>
      <c r="J100" s="4"/>
      <c r="K100" s="4"/>
      <c r="L100" s="4"/>
      <c r="M100" s="4"/>
    </row>
    <row r="101" spans="1:13" x14ac:dyDescent="0.25">
      <c r="A101" s="26"/>
      <c r="B101" s="8" t="s">
        <v>5</v>
      </c>
      <c r="C101" s="5"/>
      <c r="D101" s="5"/>
      <c r="E101" s="23">
        <f>SUM(E98:E100)</f>
        <v>165</v>
      </c>
      <c r="F101" s="4"/>
      <c r="G101" s="4"/>
      <c r="H101" s="4"/>
      <c r="I101" s="4"/>
      <c r="J101" s="4"/>
      <c r="K101" s="4"/>
      <c r="L101" s="4"/>
      <c r="M101" s="4"/>
    </row>
    <row r="102" spans="1:13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60" x14ac:dyDescent="0.25">
      <c r="A104" s="10" t="s">
        <v>63</v>
      </c>
      <c r="B104" s="10" t="s">
        <v>66</v>
      </c>
      <c r="C104" s="10" t="s">
        <v>67</v>
      </c>
      <c r="D104" s="10" t="s">
        <v>68</v>
      </c>
      <c r="E104" s="10" t="s">
        <v>74</v>
      </c>
      <c r="F104" s="10" t="s">
        <v>75</v>
      </c>
      <c r="G104" s="10" t="s">
        <v>76</v>
      </c>
      <c r="H104" s="4"/>
      <c r="I104" s="4"/>
      <c r="J104" s="4"/>
      <c r="K104" s="4"/>
      <c r="L104" s="4"/>
      <c r="M104" s="4"/>
    </row>
    <row r="105" spans="1:13" x14ac:dyDescent="0.25">
      <c r="A105" s="5" t="s">
        <v>69</v>
      </c>
      <c r="B105" s="5" t="s">
        <v>77</v>
      </c>
      <c r="C105" s="5">
        <v>700</v>
      </c>
      <c r="D105" s="5">
        <v>36</v>
      </c>
      <c r="E105" s="5">
        <v>19.440000000000001</v>
      </c>
      <c r="F105" s="5">
        <v>3</v>
      </c>
      <c r="G105" s="33">
        <f>E105*F105</f>
        <v>58.320000000000007</v>
      </c>
      <c r="H105" s="4"/>
      <c r="I105" s="4"/>
      <c r="J105" s="4"/>
      <c r="K105" s="4"/>
      <c r="L105" s="4"/>
      <c r="M105" s="4"/>
    </row>
    <row r="106" spans="1:13" x14ac:dyDescent="0.25">
      <c r="A106" s="5" t="s">
        <v>70</v>
      </c>
      <c r="B106" s="5" t="s">
        <v>77</v>
      </c>
      <c r="C106" s="5">
        <v>700</v>
      </c>
      <c r="D106" s="5">
        <v>36</v>
      </c>
      <c r="E106" s="5">
        <v>19.440000000000001</v>
      </c>
      <c r="F106" s="5">
        <v>3</v>
      </c>
      <c r="G106" s="33">
        <f t="shared" ref="G106:G107" si="4">E106*F106</f>
        <v>58.320000000000007</v>
      </c>
      <c r="H106" s="4"/>
      <c r="I106" s="4"/>
      <c r="J106" s="4"/>
      <c r="K106" s="4"/>
      <c r="L106" s="4"/>
      <c r="M106" s="4"/>
    </row>
    <row r="107" spans="1:13" x14ac:dyDescent="0.25">
      <c r="A107" s="5" t="s">
        <v>71</v>
      </c>
      <c r="B107" s="5" t="s">
        <v>72</v>
      </c>
      <c r="C107" s="5">
        <v>250</v>
      </c>
      <c r="D107" s="5">
        <v>24</v>
      </c>
      <c r="E107" s="5">
        <v>10.42</v>
      </c>
      <c r="F107" s="5">
        <v>3</v>
      </c>
      <c r="G107" s="33">
        <f t="shared" si="4"/>
        <v>31.259999999999998</v>
      </c>
      <c r="H107" s="4"/>
      <c r="I107" s="4"/>
      <c r="J107" s="4"/>
      <c r="K107" s="4"/>
      <c r="L107" s="4"/>
      <c r="M107" s="4"/>
    </row>
    <row r="108" spans="1:13" x14ac:dyDescent="0.25">
      <c r="A108" s="26"/>
      <c r="B108" s="8" t="s">
        <v>5</v>
      </c>
      <c r="C108" s="8">
        <f>SUM(C105:C107)</f>
        <v>1650</v>
      </c>
      <c r="D108" s="5"/>
      <c r="E108" s="5"/>
      <c r="F108" s="5"/>
      <c r="G108" s="23">
        <f>SUM(G105:G107)</f>
        <v>147.9</v>
      </c>
      <c r="H108" s="4"/>
      <c r="I108" s="4"/>
      <c r="J108" s="4"/>
      <c r="K108" s="4"/>
      <c r="L108" s="4"/>
      <c r="M108" s="4"/>
    </row>
    <row r="109" spans="1:13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x14ac:dyDescent="0.25">
      <c r="A111" s="10" t="s">
        <v>1</v>
      </c>
      <c r="B111" s="10" t="s">
        <v>10</v>
      </c>
      <c r="C111" s="10" t="s">
        <v>11</v>
      </c>
      <c r="D111" s="10" t="s">
        <v>60</v>
      </c>
      <c r="E111" s="10" t="s">
        <v>35</v>
      </c>
      <c r="F111" s="4"/>
      <c r="G111" s="4"/>
      <c r="H111" s="4"/>
      <c r="I111" s="4"/>
      <c r="J111" s="4"/>
      <c r="K111" s="4"/>
      <c r="L111" s="4"/>
      <c r="M111" s="4"/>
    </row>
    <row r="112" spans="1:13" x14ac:dyDescent="0.25">
      <c r="A112" s="5" t="s">
        <v>73</v>
      </c>
      <c r="B112" s="5" t="s">
        <v>13</v>
      </c>
      <c r="C112" s="5">
        <v>3</v>
      </c>
      <c r="D112" s="5">
        <v>300</v>
      </c>
      <c r="E112" s="5">
        <f>C112*D112</f>
        <v>900</v>
      </c>
      <c r="F112" s="4"/>
      <c r="G112" s="4"/>
      <c r="H112" s="4"/>
      <c r="I112" s="4"/>
      <c r="J112" s="4"/>
      <c r="K112" s="4"/>
      <c r="L112" s="4"/>
      <c r="M112" s="4"/>
    </row>
    <row r="113" spans="1:13" x14ac:dyDescent="0.25">
      <c r="A113" s="26"/>
      <c r="B113" s="8" t="s">
        <v>5</v>
      </c>
      <c r="C113" s="5"/>
      <c r="D113" s="5"/>
      <c r="E113" s="8">
        <f>SUM(E112)</f>
        <v>900</v>
      </c>
      <c r="F113" s="4"/>
      <c r="G113" s="4"/>
      <c r="H113" s="4"/>
      <c r="I113" s="4"/>
      <c r="J113" s="4"/>
      <c r="K113" s="4"/>
      <c r="L113" s="4"/>
      <c r="M113" s="4"/>
    </row>
    <row r="114" spans="1:13" x14ac:dyDescent="0.25">
      <c r="A114" s="1"/>
      <c r="B114" s="2"/>
      <c r="C114" s="2"/>
      <c r="D114" s="2"/>
      <c r="E114" s="1"/>
      <c r="F114" s="4"/>
      <c r="G114" s="4"/>
      <c r="H114" s="4"/>
      <c r="I114" s="4"/>
      <c r="J114" s="4"/>
      <c r="K114" s="4"/>
      <c r="L114" s="4"/>
      <c r="M114" s="4"/>
    </row>
    <row r="115" spans="1:13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31.5" x14ac:dyDescent="0.25">
      <c r="A118" s="16" t="s">
        <v>83</v>
      </c>
      <c r="B118" s="16"/>
      <c r="C118" s="16"/>
      <c r="D118" s="16"/>
      <c r="E118" s="16"/>
      <c r="F118" s="16"/>
      <c r="G118" s="16"/>
      <c r="H118" s="16"/>
      <c r="I118" s="16"/>
      <c r="J118" s="4"/>
      <c r="K118" s="4"/>
      <c r="L118" s="4"/>
      <c r="M118" s="4"/>
    </row>
    <row r="119" spans="1:13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45" x14ac:dyDescent="0.25">
      <c r="A121" s="10" t="s">
        <v>78</v>
      </c>
      <c r="B121" s="10" t="s">
        <v>3</v>
      </c>
      <c r="C121" s="10" t="s">
        <v>36</v>
      </c>
      <c r="D121" s="10" t="s">
        <v>4</v>
      </c>
      <c r="E121" s="15"/>
      <c r="F121" s="10" t="s">
        <v>80</v>
      </c>
      <c r="G121" s="10" t="s">
        <v>3</v>
      </c>
      <c r="H121" s="10" t="s">
        <v>36</v>
      </c>
      <c r="I121" s="10" t="s">
        <v>4</v>
      </c>
      <c r="J121" s="4"/>
      <c r="K121" s="4"/>
      <c r="L121" s="4"/>
      <c r="M121" s="4"/>
    </row>
    <row r="122" spans="1:13" ht="30" x14ac:dyDescent="0.25">
      <c r="A122" s="24" t="s">
        <v>100</v>
      </c>
      <c r="B122" s="5">
        <v>5</v>
      </c>
      <c r="C122" s="5">
        <v>20</v>
      </c>
      <c r="D122" s="5">
        <f>B122*C122</f>
        <v>100</v>
      </c>
      <c r="E122" s="2"/>
      <c r="F122" s="5" t="s">
        <v>95</v>
      </c>
      <c r="G122" s="5">
        <v>2</v>
      </c>
      <c r="H122" s="5">
        <v>20</v>
      </c>
      <c r="I122" s="5">
        <f>G122*H122</f>
        <v>40</v>
      </c>
      <c r="J122" s="4"/>
      <c r="K122" s="4"/>
      <c r="L122" s="4"/>
      <c r="M122" s="4"/>
    </row>
    <row r="123" spans="1:13" ht="30" x14ac:dyDescent="0.25">
      <c r="A123" s="24" t="s">
        <v>101</v>
      </c>
      <c r="B123" s="5">
        <v>6</v>
      </c>
      <c r="C123" s="5">
        <v>20</v>
      </c>
      <c r="D123" s="5">
        <f t="shared" ref="D123:D145" si="5">B123*C123</f>
        <v>120</v>
      </c>
      <c r="E123" s="2"/>
      <c r="F123" s="5" t="s">
        <v>94</v>
      </c>
      <c r="G123" s="5">
        <v>6</v>
      </c>
      <c r="H123" s="5">
        <v>20</v>
      </c>
      <c r="I123" s="5">
        <f t="shared" ref="I123:I128" si="6">G123*H123</f>
        <v>120</v>
      </c>
      <c r="J123" s="4"/>
      <c r="K123" s="4"/>
      <c r="L123" s="4"/>
      <c r="M123" s="4"/>
    </row>
    <row r="124" spans="1:13" ht="30" x14ac:dyDescent="0.25">
      <c r="A124" s="24" t="s">
        <v>102</v>
      </c>
      <c r="B124" s="5">
        <v>5</v>
      </c>
      <c r="C124" s="5">
        <v>20</v>
      </c>
      <c r="D124" s="5">
        <f t="shared" si="5"/>
        <v>100</v>
      </c>
      <c r="E124" s="2"/>
      <c r="F124" s="5" t="s">
        <v>96</v>
      </c>
      <c r="G124" s="5">
        <v>2</v>
      </c>
      <c r="H124" s="5">
        <v>20</v>
      </c>
      <c r="I124" s="5">
        <f t="shared" si="6"/>
        <v>40</v>
      </c>
      <c r="J124" s="4"/>
      <c r="K124" s="4"/>
      <c r="L124" s="4"/>
      <c r="M124" s="4"/>
    </row>
    <row r="125" spans="1:13" ht="30" x14ac:dyDescent="0.25">
      <c r="A125" s="24" t="s">
        <v>106</v>
      </c>
      <c r="B125" s="5">
        <v>6</v>
      </c>
      <c r="C125" s="5">
        <v>20</v>
      </c>
      <c r="D125" s="5">
        <f t="shared" si="5"/>
        <v>120</v>
      </c>
      <c r="E125" s="2"/>
      <c r="F125" s="5" t="s">
        <v>97</v>
      </c>
      <c r="G125" s="5">
        <v>2</v>
      </c>
      <c r="H125" s="5">
        <v>20</v>
      </c>
      <c r="I125" s="5">
        <f t="shared" si="6"/>
        <v>40</v>
      </c>
      <c r="J125" s="4"/>
      <c r="K125" s="4"/>
      <c r="L125" s="4"/>
      <c r="M125" s="4"/>
    </row>
    <row r="126" spans="1:13" ht="30" x14ac:dyDescent="0.25">
      <c r="A126" s="24" t="s">
        <v>103</v>
      </c>
      <c r="B126" s="5">
        <v>6</v>
      </c>
      <c r="C126" s="5">
        <v>20</v>
      </c>
      <c r="D126" s="5">
        <f t="shared" si="5"/>
        <v>120</v>
      </c>
      <c r="E126" s="2"/>
      <c r="F126" s="5" t="s">
        <v>81</v>
      </c>
      <c r="G126" s="5">
        <v>2</v>
      </c>
      <c r="H126" s="5">
        <v>20</v>
      </c>
      <c r="I126" s="5">
        <f t="shared" si="6"/>
        <v>40</v>
      </c>
      <c r="J126" s="4"/>
      <c r="K126" s="4"/>
      <c r="L126" s="4"/>
      <c r="M126" s="4"/>
    </row>
    <row r="127" spans="1:13" ht="30" x14ac:dyDescent="0.25">
      <c r="A127" s="24" t="s">
        <v>104</v>
      </c>
      <c r="B127" s="5">
        <v>5</v>
      </c>
      <c r="C127" s="5">
        <v>20</v>
      </c>
      <c r="D127" s="5">
        <f t="shared" si="5"/>
        <v>100</v>
      </c>
      <c r="E127" s="2"/>
      <c r="F127" s="21" t="s">
        <v>98</v>
      </c>
      <c r="G127" s="21">
        <v>2</v>
      </c>
      <c r="H127" s="21">
        <v>20</v>
      </c>
      <c r="I127" s="5">
        <f t="shared" si="6"/>
        <v>40</v>
      </c>
      <c r="J127" s="4"/>
      <c r="K127" s="4"/>
      <c r="L127" s="4"/>
      <c r="M127" s="4"/>
    </row>
    <row r="128" spans="1:13" ht="30" x14ac:dyDescent="0.25">
      <c r="A128" s="24" t="s">
        <v>105</v>
      </c>
      <c r="B128" s="5">
        <v>6</v>
      </c>
      <c r="C128" s="5">
        <v>20</v>
      </c>
      <c r="D128" s="5">
        <f t="shared" si="5"/>
        <v>120</v>
      </c>
      <c r="E128" s="2"/>
      <c r="F128" s="5" t="s">
        <v>99</v>
      </c>
      <c r="G128" s="5">
        <v>4</v>
      </c>
      <c r="H128" s="5">
        <v>20</v>
      </c>
      <c r="I128" s="5">
        <f t="shared" si="6"/>
        <v>80</v>
      </c>
      <c r="J128" s="4"/>
      <c r="K128" s="4"/>
      <c r="L128" s="4"/>
      <c r="M128" s="4"/>
    </row>
    <row r="129" spans="1:13" x14ac:dyDescent="0.25">
      <c r="A129" s="24" t="s">
        <v>79</v>
      </c>
      <c r="B129" s="5">
        <v>5</v>
      </c>
      <c r="C129" s="5">
        <v>20</v>
      </c>
      <c r="D129" s="5">
        <f t="shared" si="5"/>
        <v>100</v>
      </c>
      <c r="E129" s="2"/>
      <c r="F129" s="8" t="s">
        <v>5</v>
      </c>
      <c r="G129" s="8">
        <f>SUM(G122:G128)</f>
        <v>20</v>
      </c>
      <c r="H129" s="5"/>
      <c r="I129" s="8">
        <f>SUM(I122:I128)</f>
        <v>400</v>
      </c>
      <c r="J129" s="4"/>
      <c r="K129" s="4"/>
      <c r="L129" s="4"/>
      <c r="M129" s="4"/>
    </row>
    <row r="130" spans="1:13" x14ac:dyDescent="0.25">
      <c r="A130" s="24" t="s">
        <v>107</v>
      </c>
      <c r="B130" s="5">
        <v>5</v>
      </c>
      <c r="C130" s="5">
        <v>20</v>
      </c>
      <c r="D130" s="5">
        <f t="shared" si="5"/>
        <v>100</v>
      </c>
      <c r="E130" s="2"/>
      <c r="F130" s="2"/>
      <c r="G130" s="2"/>
      <c r="H130" s="2"/>
      <c r="I130" s="7"/>
      <c r="J130" s="4"/>
      <c r="K130" s="4"/>
      <c r="L130" s="4"/>
      <c r="M130" s="4"/>
    </row>
    <row r="131" spans="1:13" x14ac:dyDescent="0.25">
      <c r="A131" s="24" t="s">
        <v>108</v>
      </c>
      <c r="B131" s="5">
        <v>6</v>
      </c>
      <c r="C131" s="5">
        <v>20</v>
      </c>
      <c r="D131" s="5">
        <f t="shared" si="5"/>
        <v>120</v>
      </c>
      <c r="E131" s="2"/>
      <c r="F131" s="2"/>
      <c r="G131" s="2"/>
      <c r="H131" s="2"/>
      <c r="I131" s="7"/>
      <c r="J131" s="4"/>
      <c r="K131" s="4"/>
      <c r="L131" s="4"/>
      <c r="M131" s="4"/>
    </row>
    <row r="132" spans="1:13" ht="30" x14ac:dyDescent="0.25">
      <c r="A132" s="24" t="s">
        <v>109</v>
      </c>
      <c r="B132" s="5">
        <v>5</v>
      </c>
      <c r="C132" s="5">
        <v>20</v>
      </c>
      <c r="D132" s="5">
        <f t="shared" si="5"/>
        <v>100</v>
      </c>
      <c r="E132" s="2"/>
      <c r="F132" s="2"/>
      <c r="G132" s="2"/>
      <c r="H132" s="2"/>
      <c r="I132" s="7"/>
      <c r="J132" s="4"/>
      <c r="K132" s="4"/>
      <c r="L132" s="4"/>
      <c r="M132" s="4"/>
    </row>
    <row r="133" spans="1:13" ht="30" x14ac:dyDescent="0.25">
      <c r="A133" s="24" t="s">
        <v>110</v>
      </c>
      <c r="B133" s="5">
        <v>6</v>
      </c>
      <c r="C133" s="5">
        <v>20</v>
      </c>
      <c r="D133" s="5">
        <f t="shared" si="5"/>
        <v>120</v>
      </c>
      <c r="E133" s="2"/>
      <c r="F133" s="5" t="s">
        <v>82</v>
      </c>
      <c r="G133" s="5">
        <f>SUM(D146,I129)</f>
        <v>2880</v>
      </c>
      <c r="H133" s="2"/>
      <c r="I133" s="7"/>
      <c r="J133" s="4"/>
      <c r="K133" s="4"/>
      <c r="L133" s="4"/>
      <c r="M133" s="4"/>
    </row>
    <row r="134" spans="1:13" ht="30" x14ac:dyDescent="0.25">
      <c r="A134" s="24" t="s">
        <v>111</v>
      </c>
      <c r="B134" s="5">
        <v>6</v>
      </c>
      <c r="C134" s="5">
        <v>20</v>
      </c>
      <c r="D134" s="5">
        <f t="shared" si="5"/>
        <v>120</v>
      </c>
      <c r="E134" s="2"/>
      <c r="F134" s="2"/>
      <c r="G134" s="2"/>
      <c r="H134" s="2"/>
      <c r="I134" s="7"/>
      <c r="J134" s="4"/>
      <c r="K134" s="4"/>
      <c r="L134" s="4"/>
      <c r="M134" s="4"/>
    </row>
    <row r="135" spans="1:13" x14ac:dyDescent="0.25">
      <c r="A135" s="24" t="s">
        <v>112</v>
      </c>
      <c r="B135" s="5">
        <v>6</v>
      </c>
      <c r="C135" s="5">
        <v>20</v>
      </c>
      <c r="D135" s="5">
        <f t="shared" si="5"/>
        <v>120</v>
      </c>
      <c r="E135" s="2"/>
      <c r="F135" s="2"/>
      <c r="G135" s="2"/>
      <c r="H135" s="2"/>
      <c r="I135" s="7"/>
      <c r="J135" s="4"/>
      <c r="K135" s="4"/>
      <c r="L135" s="4"/>
      <c r="M135" s="4"/>
    </row>
    <row r="136" spans="1:13" x14ac:dyDescent="0.25">
      <c r="A136" s="24" t="s">
        <v>113</v>
      </c>
      <c r="B136" s="5">
        <v>6</v>
      </c>
      <c r="C136" s="5">
        <v>20</v>
      </c>
      <c r="D136" s="5">
        <f t="shared" si="5"/>
        <v>120</v>
      </c>
      <c r="E136" s="2"/>
      <c r="F136" s="2"/>
      <c r="G136" s="2"/>
      <c r="H136" s="2"/>
      <c r="I136" s="7"/>
      <c r="J136" s="4"/>
      <c r="K136" s="4"/>
      <c r="L136" s="4"/>
      <c r="M136" s="4"/>
    </row>
    <row r="137" spans="1:13" x14ac:dyDescent="0.25">
      <c r="A137" s="25" t="s">
        <v>114</v>
      </c>
      <c r="B137" s="21">
        <v>6</v>
      </c>
      <c r="C137" s="21">
        <v>20</v>
      </c>
      <c r="D137" s="5">
        <f t="shared" si="5"/>
        <v>120</v>
      </c>
      <c r="E137" s="2"/>
      <c r="F137" s="2"/>
      <c r="G137" s="2"/>
      <c r="H137" s="2"/>
      <c r="I137" s="2"/>
      <c r="J137" s="4"/>
      <c r="K137" s="4"/>
      <c r="L137" s="4"/>
      <c r="M137" s="4"/>
    </row>
    <row r="138" spans="1:13" ht="30" x14ac:dyDescent="0.25">
      <c r="A138" s="25" t="s">
        <v>115</v>
      </c>
      <c r="B138" s="21">
        <v>4</v>
      </c>
      <c r="C138" s="21">
        <v>20</v>
      </c>
      <c r="D138" s="5">
        <f t="shared" si="5"/>
        <v>80</v>
      </c>
      <c r="E138" s="2"/>
      <c r="F138" s="2"/>
      <c r="G138" s="2"/>
      <c r="H138" s="2"/>
      <c r="I138" s="2"/>
    </row>
    <row r="139" spans="1:13" ht="30" x14ac:dyDescent="0.25">
      <c r="A139" s="25" t="s">
        <v>116</v>
      </c>
      <c r="B139" s="21">
        <v>6</v>
      </c>
      <c r="C139" s="21">
        <v>20</v>
      </c>
      <c r="D139" s="5">
        <f t="shared" si="5"/>
        <v>120</v>
      </c>
      <c r="E139" s="2"/>
      <c r="F139" s="2"/>
      <c r="G139" s="2"/>
      <c r="H139" s="2"/>
      <c r="I139" s="2"/>
    </row>
    <row r="140" spans="1:13" ht="30" x14ac:dyDescent="0.25">
      <c r="A140" s="25" t="s">
        <v>117</v>
      </c>
      <c r="B140" s="21">
        <v>6</v>
      </c>
      <c r="C140" s="21">
        <v>20</v>
      </c>
      <c r="D140" s="5">
        <f t="shared" si="5"/>
        <v>120</v>
      </c>
      <c r="E140" s="2"/>
      <c r="F140" s="2"/>
      <c r="G140" s="2"/>
      <c r="H140" s="2"/>
      <c r="I140" s="2"/>
    </row>
    <row r="141" spans="1:13" ht="30" x14ac:dyDescent="0.25">
      <c r="A141" s="25" t="s">
        <v>118</v>
      </c>
      <c r="B141" s="21">
        <v>4</v>
      </c>
      <c r="C141" s="21">
        <v>20</v>
      </c>
      <c r="D141" s="5">
        <f t="shared" si="5"/>
        <v>80</v>
      </c>
      <c r="E141" s="2"/>
      <c r="F141" s="2"/>
      <c r="G141" s="2"/>
      <c r="H141" s="2"/>
      <c r="I141" s="2"/>
    </row>
    <row r="142" spans="1:13" ht="30" x14ac:dyDescent="0.25">
      <c r="A142" s="25" t="s">
        <v>119</v>
      </c>
      <c r="B142" s="21">
        <v>4</v>
      </c>
      <c r="C142" s="21">
        <v>20</v>
      </c>
      <c r="D142" s="5">
        <f t="shared" si="5"/>
        <v>80</v>
      </c>
      <c r="E142" s="2"/>
      <c r="F142" s="2"/>
      <c r="G142" s="2"/>
      <c r="H142" s="2"/>
      <c r="I142" s="2"/>
    </row>
    <row r="143" spans="1:13" x14ac:dyDescent="0.25">
      <c r="A143" s="25" t="s">
        <v>120</v>
      </c>
      <c r="B143" s="21">
        <v>4</v>
      </c>
      <c r="C143" s="21">
        <v>20</v>
      </c>
      <c r="D143" s="5">
        <f t="shared" si="5"/>
        <v>80</v>
      </c>
      <c r="E143" s="2"/>
      <c r="F143" s="2"/>
      <c r="G143" s="2"/>
      <c r="H143" s="2"/>
      <c r="I143" s="2"/>
    </row>
    <row r="144" spans="1:13" x14ac:dyDescent="0.25">
      <c r="A144" s="25" t="s">
        <v>121</v>
      </c>
      <c r="B144" s="21">
        <v>4</v>
      </c>
      <c r="C144" s="21">
        <v>20</v>
      </c>
      <c r="D144" s="5">
        <f t="shared" si="5"/>
        <v>80</v>
      </c>
      <c r="E144" s="2"/>
      <c r="F144" s="2"/>
      <c r="G144" s="2"/>
      <c r="H144" s="2"/>
      <c r="I144" s="2"/>
    </row>
    <row r="145" spans="1:9" ht="30" x14ac:dyDescent="0.25">
      <c r="A145" s="25" t="s">
        <v>122</v>
      </c>
      <c r="B145" s="21">
        <v>2</v>
      </c>
      <c r="C145" s="21">
        <v>20</v>
      </c>
      <c r="D145" s="5">
        <f t="shared" si="5"/>
        <v>40</v>
      </c>
      <c r="E145" s="2"/>
      <c r="F145" s="2"/>
      <c r="G145" s="2"/>
      <c r="H145" s="2"/>
      <c r="I145" s="2"/>
    </row>
    <row r="146" spans="1:9" x14ac:dyDescent="0.25">
      <c r="A146" s="8" t="s">
        <v>5</v>
      </c>
      <c r="B146" s="8">
        <f>SUM(B122:B145)</f>
        <v>124</v>
      </c>
      <c r="C146" s="5"/>
      <c r="D146" s="8">
        <f>SUM(D122:D145)</f>
        <v>2480</v>
      </c>
      <c r="E146" s="2"/>
      <c r="F146" s="2"/>
      <c r="G146" s="2"/>
      <c r="H146" s="2"/>
      <c r="I146" s="2"/>
    </row>
    <row r="149" spans="1:9" ht="30" x14ac:dyDescent="0.25">
      <c r="A149" s="10" t="s">
        <v>34</v>
      </c>
      <c r="B149" s="10" t="s">
        <v>2</v>
      </c>
      <c r="C149" s="10" t="s">
        <v>3</v>
      </c>
      <c r="D149" s="10" t="s">
        <v>36</v>
      </c>
      <c r="E149" s="10" t="s">
        <v>4</v>
      </c>
    </row>
    <row r="150" spans="1:9" ht="45" x14ac:dyDescent="0.25">
      <c r="A150" s="5" t="s">
        <v>133</v>
      </c>
      <c r="B150" s="5" t="s">
        <v>134</v>
      </c>
      <c r="C150" s="5">
        <v>6</v>
      </c>
      <c r="D150" s="5">
        <v>30</v>
      </c>
      <c r="E150" s="5">
        <f>C150*D150</f>
        <v>180</v>
      </c>
    </row>
    <row r="151" spans="1:9" ht="45" x14ac:dyDescent="0.25">
      <c r="A151" s="5"/>
      <c r="B151" s="5" t="s">
        <v>135</v>
      </c>
      <c r="C151" s="5">
        <v>6</v>
      </c>
      <c r="D151" s="5">
        <v>30</v>
      </c>
      <c r="E151" s="5">
        <f t="shared" ref="E151:E159" si="7">C151*D151</f>
        <v>180</v>
      </c>
    </row>
    <row r="152" spans="1:9" ht="45" x14ac:dyDescent="0.25">
      <c r="A152" s="5" t="s">
        <v>136</v>
      </c>
      <c r="B152" s="5" t="s">
        <v>134</v>
      </c>
      <c r="C152" s="5">
        <v>4</v>
      </c>
      <c r="D152" s="5">
        <v>30</v>
      </c>
      <c r="E152" s="5">
        <f t="shared" si="7"/>
        <v>120</v>
      </c>
    </row>
    <row r="153" spans="1:9" ht="45" x14ac:dyDescent="0.25">
      <c r="A153" s="5"/>
      <c r="B153" s="5" t="s">
        <v>135</v>
      </c>
      <c r="C153" s="5">
        <v>4</v>
      </c>
      <c r="D153" s="5">
        <v>30</v>
      </c>
      <c r="E153" s="5">
        <f t="shared" si="7"/>
        <v>120</v>
      </c>
    </row>
    <row r="154" spans="1:9" ht="45" x14ac:dyDescent="0.25">
      <c r="A154" s="5" t="s">
        <v>140</v>
      </c>
      <c r="B154" s="5" t="s">
        <v>134</v>
      </c>
      <c r="C154" s="5">
        <v>4</v>
      </c>
      <c r="D154" s="5">
        <v>30</v>
      </c>
      <c r="E154" s="5">
        <f t="shared" si="7"/>
        <v>120</v>
      </c>
    </row>
    <row r="155" spans="1:9" ht="45" x14ac:dyDescent="0.25">
      <c r="A155" s="5"/>
      <c r="B155" s="5" t="s">
        <v>135</v>
      </c>
      <c r="C155" s="5">
        <v>4</v>
      </c>
      <c r="D155" s="5">
        <v>30</v>
      </c>
      <c r="E155" s="5">
        <f t="shared" si="7"/>
        <v>120</v>
      </c>
    </row>
    <row r="156" spans="1:9" ht="45" x14ac:dyDescent="0.25">
      <c r="A156" s="5" t="s">
        <v>137</v>
      </c>
      <c r="B156" s="5" t="s">
        <v>138</v>
      </c>
      <c r="C156" s="5">
        <v>5</v>
      </c>
      <c r="D156" s="5">
        <v>20</v>
      </c>
      <c r="E156" s="5">
        <f t="shared" si="7"/>
        <v>100</v>
      </c>
    </row>
    <row r="157" spans="1:9" ht="45" x14ac:dyDescent="0.25">
      <c r="A157" s="5"/>
      <c r="B157" s="5" t="s">
        <v>139</v>
      </c>
      <c r="C157" s="5">
        <v>5</v>
      </c>
      <c r="D157" s="5">
        <v>20</v>
      </c>
      <c r="E157" s="5">
        <f t="shared" si="7"/>
        <v>100</v>
      </c>
    </row>
    <row r="158" spans="1:9" ht="45" x14ac:dyDescent="0.25">
      <c r="A158" s="5" t="s">
        <v>147</v>
      </c>
      <c r="B158" s="5" t="s">
        <v>138</v>
      </c>
      <c r="C158" s="5">
        <v>8</v>
      </c>
      <c r="D158" s="5">
        <v>20</v>
      </c>
      <c r="E158" s="5">
        <f t="shared" si="7"/>
        <v>160</v>
      </c>
    </row>
    <row r="159" spans="1:9" ht="45" x14ac:dyDescent="0.25">
      <c r="A159" s="5"/>
      <c r="B159" s="5" t="s">
        <v>139</v>
      </c>
      <c r="C159" s="5">
        <v>6</v>
      </c>
      <c r="D159" s="5">
        <v>20</v>
      </c>
      <c r="E159" s="5">
        <f t="shared" si="7"/>
        <v>120</v>
      </c>
    </row>
    <row r="160" spans="1:9" x14ac:dyDescent="0.25">
      <c r="A160" s="5" t="s">
        <v>5</v>
      </c>
      <c r="B160" s="5"/>
      <c r="C160" s="5"/>
      <c r="D160" s="5"/>
      <c r="E160" s="5">
        <f>SUM(E150:E159)</f>
        <v>1320</v>
      </c>
    </row>
    <row r="162" spans="1:9" ht="31.5" x14ac:dyDescent="0.25">
      <c r="A162" s="16" t="s">
        <v>141</v>
      </c>
      <c r="B162" s="16"/>
      <c r="C162" s="16"/>
      <c r="D162" s="16"/>
      <c r="E162" s="16"/>
      <c r="F162" s="16"/>
      <c r="G162" s="16"/>
      <c r="H162" s="16"/>
      <c r="I162" s="16"/>
    </row>
    <row r="164" spans="1:9" ht="30" x14ac:dyDescent="0.25">
      <c r="A164" s="10" t="s">
        <v>34</v>
      </c>
      <c r="B164" s="10" t="s">
        <v>2</v>
      </c>
      <c r="C164" s="10" t="s">
        <v>3</v>
      </c>
      <c r="D164" s="10" t="s">
        <v>36</v>
      </c>
      <c r="E164" s="10" t="s">
        <v>4</v>
      </c>
    </row>
    <row r="165" spans="1:9" ht="30" x14ac:dyDescent="0.25">
      <c r="A165" s="5" t="s">
        <v>142</v>
      </c>
      <c r="B165" s="5" t="s">
        <v>85</v>
      </c>
      <c r="C165" s="5">
        <v>6</v>
      </c>
      <c r="D165" s="5">
        <v>20</v>
      </c>
      <c r="E165" s="5">
        <f>C165*D165</f>
        <v>120</v>
      </c>
    </row>
    <row r="166" spans="1:9" ht="45" x14ac:dyDescent="0.25">
      <c r="A166" s="5" t="s">
        <v>143</v>
      </c>
      <c r="B166" s="5" t="s">
        <v>138</v>
      </c>
      <c r="C166" s="5">
        <v>8</v>
      </c>
      <c r="D166" s="5">
        <v>20</v>
      </c>
      <c r="E166" s="5">
        <f t="shared" ref="E166:E172" si="8">C166*D166</f>
        <v>160</v>
      </c>
    </row>
    <row r="167" spans="1:9" ht="45" x14ac:dyDescent="0.25">
      <c r="A167" s="5"/>
      <c r="B167" s="5" t="s">
        <v>139</v>
      </c>
      <c r="C167" s="5">
        <v>6</v>
      </c>
      <c r="D167" s="5">
        <v>20</v>
      </c>
      <c r="E167" s="5">
        <f t="shared" si="8"/>
        <v>120</v>
      </c>
    </row>
    <row r="168" spans="1:9" ht="30" x14ac:dyDescent="0.25">
      <c r="A168" s="5" t="s">
        <v>146</v>
      </c>
      <c r="B168" s="5" t="s">
        <v>85</v>
      </c>
      <c r="C168" s="5">
        <v>8</v>
      </c>
      <c r="D168" s="5">
        <v>20</v>
      </c>
      <c r="E168" s="5">
        <f t="shared" si="8"/>
        <v>160</v>
      </c>
    </row>
    <row r="169" spans="1:9" ht="45" x14ac:dyDescent="0.25">
      <c r="A169" s="5" t="s">
        <v>144</v>
      </c>
      <c r="B169" s="5" t="s">
        <v>138</v>
      </c>
      <c r="C169" s="5">
        <v>6</v>
      </c>
      <c r="D169" s="5">
        <v>20</v>
      </c>
      <c r="E169" s="5">
        <f t="shared" si="8"/>
        <v>120</v>
      </c>
    </row>
    <row r="170" spans="1:9" ht="45" x14ac:dyDescent="0.25">
      <c r="A170" s="5"/>
      <c r="B170" s="5" t="s">
        <v>139</v>
      </c>
      <c r="C170" s="5">
        <v>6</v>
      </c>
      <c r="D170" s="5">
        <v>20</v>
      </c>
      <c r="E170" s="5">
        <f t="shared" si="8"/>
        <v>120</v>
      </c>
    </row>
    <row r="171" spans="1:9" ht="45" x14ac:dyDescent="0.25">
      <c r="A171" s="5" t="s">
        <v>145</v>
      </c>
      <c r="B171" s="5" t="s">
        <v>138</v>
      </c>
      <c r="C171" s="5">
        <v>8</v>
      </c>
      <c r="D171" s="5">
        <v>20</v>
      </c>
      <c r="E171" s="5">
        <f t="shared" si="8"/>
        <v>160</v>
      </c>
    </row>
    <row r="172" spans="1:9" ht="45" x14ac:dyDescent="0.25">
      <c r="A172" s="5"/>
      <c r="B172" s="5" t="s">
        <v>139</v>
      </c>
      <c r="C172" s="5">
        <v>6</v>
      </c>
      <c r="D172" s="5">
        <v>20</v>
      </c>
      <c r="E172" s="5">
        <f t="shared" si="8"/>
        <v>120</v>
      </c>
    </row>
    <row r="173" spans="1:9" x14ac:dyDescent="0.25">
      <c r="A173" s="5" t="s">
        <v>5</v>
      </c>
      <c r="B173" s="5"/>
      <c r="C173" s="5"/>
      <c r="D173" s="5"/>
      <c r="E173" s="5">
        <f>SUM(E165:E172)</f>
        <v>1080</v>
      </c>
    </row>
  </sheetData>
  <mergeCells count="15">
    <mergeCell ref="A162:I162"/>
    <mergeCell ref="D8:F8"/>
    <mergeCell ref="A43:G43"/>
    <mergeCell ref="A82:G82"/>
    <mergeCell ref="A118:I118"/>
    <mergeCell ref="A1:G1"/>
    <mergeCell ref="I18:M21"/>
    <mergeCell ref="D4:F4"/>
    <mergeCell ref="D5:F5"/>
    <mergeCell ref="D6:F6"/>
    <mergeCell ref="D7:F7"/>
    <mergeCell ref="D3:F3"/>
    <mergeCell ref="D9:F9"/>
    <mergeCell ref="A10:G10"/>
    <mergeCell ref="I3:M6"/>
  </mergeCells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general</vt:lpstr>
      <vt:lpstr>Costo Gestión AUP</vt:lpstr>
      <vt:lpstr>Costo fases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Kerlly Chiriboga y Ricardo Lainez</dc:creator>
  <cp:lastModifiedBy>WINDOWS</cp:lastModifiedBy>
  <dcterms:created xsi:type="dcterms:W3CDTF">2026-01-20T05:32:19Z</dcterms:created>
  <dcterms:modified xsi:type="dcterms:W3CDTF">2026-02-20T07:03:56Z</dcterms:modified>
</cp:coreProperties>
</file>