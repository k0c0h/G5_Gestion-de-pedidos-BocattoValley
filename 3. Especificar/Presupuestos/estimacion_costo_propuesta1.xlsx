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4FC45F8E-5C6E-4D3C-BE21-9DCB1A33C8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general" sheetId="1" r:id="rId1"/>
    <sheet name="Costo SCRUM" sheetId="2" r:id="rId2"/>
    <sheet name="Costo fases" sheetId="3" r:id="rId3"/>
    <sheet name="Costo riesgo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D142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27" i="3"/>
  <c r="G138" i="3"/>
  <c r="C7" i="3" s="1"/>
  <c r="I132" i="3"/>
  <c r="I128" i="3"/>
  <c r="I129" i="3"/>
  <c r="I130" i="3"/>
  <c r="I131" i="3"/>
  <c r="I127" i="3"/>
  <c r="G132" i="3"/>
  <c r="C8" i="3" l="1"/>
  <c r="B8" i="3"/>
  <c r="C6" i="3"/>
  <c r="C5" i="3"/>
  <c r="C4" i="3"/>
  <c r="B6" i="3"/>
  <c r="E118" i="3"/>
  <c r="E117" i="3"/>
  <c r="G113" i="3"/>
  <c r="G111" i="3"/>
  <c r="G112" i="3"/>
  <c r="G110" i="3"/>
  <c r="E105" i="3"/>
  <c r="E103" i="3"/>
  <c r="E104" i="3"/>
  <c r="E102" i="3"/>
  <c r="E98" i="3"/>
  <c r="E97" i="3"/>
  <c r="E96" i="3"/>
  <c r="G92" i="3"/>
  <c r="G91" i="3"/>
  <c r="G90" i="3"/>
  <c r="B5" i="3"/>
  <c r="B4" i="3"/>
  <c r="G33" i="3"/>
  <c r="G34" i="3"/>
  <c r="G35" i="3"/>
  <c r="G36" i="3"/>
  <c r="G37" i="3"/>
  <c r="G32" i="3"/>
  <c r="G82" i="3"/>
  <c r="G81" i="3"/>
  <c r="G64" i="3"/>
  <c r="G63" i="3"/>
  <c r="G58" i="3"/>
  <c r="G57" i="3"/>
  <c r="G59" i="3" s="1"/>
  <c r="G52" i="3"/>
  <c r="G51" i="3"/>
  <c r="G76" i="3"/>
  <c r="G75" i="3"/>
  <c r="G70" i="3"/>
  <c r="G69" i="3"/>
  <c r="G71" i="3" s="1"/>
  <c r="G27" i="3"/>
  <c r="G26" i="3"/>
  <c r="G14" i="3"/>
  <c r="G13" i="3"/>
  <c r="G20" i="3"/>
  <c r="G21" i="3"/>
  <c r="G19" i="3"/>
  <c r="G77" i="3" l="1"/>
  <c r="G83" i="3"/>
  <c r="G15" i="3"/>
  <c r="G65" i="3"/>
  <c r="G28" i="3"/>
  <c r="G38" i="3"/>
  <c r="G22" i="3"/>
  <c r="G53" i="3"/>
</calcChain>
</file>

<file path=xl/sharedStrings.xml><?xml version="1.0" encoding="utf-8"?>
<sst xmlns="http://schemas.openxmlformats.org/spreadsheetml/2006/main" count="274" uniqueCount="124">
  <si>
    <t>ESTIMACIÓN DE COSTOS - BOCATTO VALLEY (144 HORAS)</t>
  </si>
  <si>
    <t>Concepto</t>
  </si>
  <si>
    <t>Rol</t>
  </si>
  <si>
    <t>Horas</t>
  </si>
  <si>
    <t>Subtotal (USD)</t>
  </si>
  <si>
    <t>TOTAL</t>
  </si>
  <si>
    <t>Fase</t>
  </si>
  <si>
    <t>Horas estimadas</t>
  </si>
  <si>
    <t>Costo estimado (USD)</t>
  </si>
  <si>
    <t>Fase 1 - Elicitación</t>
  </si>
  <si>
    <t>Fase 2 - Análisis</t>
  </si>
  <si>
    <t>10%</t>
  </si>
  <si>
    <t>Unidad</t>
  </si>
  <si>
    <t>Cantidad</t>
  </si>
  <si>
    <t>Costo unitario (USD)</t>
  </si>
  <si>
    <t>mes</t>
  </si>
  <si>
    <t>COSTO DE RIESGOS (CONTINGENCIA)</t>
  </si>
  <si>
    <t>Valor</t>
  </si>
  <si>
    <t>Nota</t>
  </si>
  <si>
    <t>Subtotal sin riesgos</t>
  </si>
  <si>
    <t>Base de cálculo</t>
  </si>
  <si>
    <t>Porcentaje de riesgo</t>
  </si>
  <si>
    <t>Contingencia recomendada</t>
  </si>
  <si>
    <t>TOTAL riesgos</t>
  </si>
  <si>
    <t xml:space="preserve">DATOS GENERALES DEL PROYECTO </t>
  </si>
  <si>
    <t>ITEM</t>
  </si>
  <si>
    <t>DESCRIPCIÓN</t>
  </si>
  <si>
    <t>TIPO DE PROYECTO:</t>
  </si>
  <si>
    <t>Sistema de gestion de pedidos</t>
  </si>
  <si>
    <t>Metodologia</t>
  </si>
  <si>
    <t>SCRUM</t>
  </si>
  <si>
    <t>Enfoque</t>
  </si>
  <si>
    <t>Semiprofesional</t>
  </si>
  <si>
    <t>Pais</t>
  </si>
  <si>
    <t>Ecuador</t>
  </si>
  <si>
    <t>Año</t>
  </si>
  <si>
    <t>2025-2026</t>
  </si>
  <si>
    <t>Duración</t>
  </si>
  <si>
    <t>144 horas</t>
  </si>
  <si>
    <t>fase 3 - especificación</t>
  </si>
  <si>
    <t>Fase 4 - Validación</t>
  </si>
  <si>
    <t>Actividades</t>
  </si>
  <si>
    <t>entrevista, sesion de brainstorming</t>
  </si>
  <si>
    <t>arbol de problemas</t>
  </si>
  <si>
    <t>diagrama de casos de uso, diagramas</t>
  </si>
  <si>
    <t>pruebas, validaciones</t>
  </si>
  <si>
    <t>DETALLES FASE 1 - ELICITACIÓN</t>
  </si>
  <si>
    <t>Actividad</t>
  </si>
  <si>
    <t>Subtotal</t>
  </si>
  <si>
    <t>Pago por hora (USD/h)</t>
  </si>
  <si>
    <t>Entrevista al cliente</t>
  </si>
  <si>
    <t>Brainstorming</t>
  </si>
  <si>
    <t>Analista de Requisitos (Ricardo Lainez)</t>
  </si>
  <si>
    <t>Analista de Requisitos (Kerlly Chiriboga)</t>
  </si>
  <si>
    <t>Product Owner (David Lainez)</t>
  </si>
  <si>
    <t>Cocinero (Daniel Cadena)</t>
  </si>
  <si>
    <t>Mesero (Stiven Pachacama)</t>
  </si>
  <si>
    <t>Cajero (Andrés Jason)</t>
  </si>
  <si>
    <t>Fecha inicio</t>
  </si>
  <si>
    <t>fecha fin</t>
  </si>
  <si>
    <t>Fecha fin</t>
  </si>
  <si>
    <t>Operador de llamadas (Stiven Canchig)</t>
  </si>
  <si>
    <t>Planificación entrevista (guía de preguntas)</t>
  </si>
  <si>
    <t>Planificación brainstorming (guía/preguntas)</t>
  </si>
  <si>
    <t>DETALLES FASE 2 - ANALISIS</t>
  </si>
  <si>
    <t>Árbol de problemas</t>
  </si>
  <si>
    <t>Definición del problema</t>
  </si>
  <si>
    <t>Minuta de entrevista</t>
  </si>
  <si>
    <t>Acta de brainstorming</t>
  </si>
  <si>
    <t>Casos de uso actual</t>
  </si>
  <si>
    <t>Modelo conceptual</t>
  </si>
  <si>
    <t>El Product Owner corresponde al cliente/promotor del restaurante, por lo que no representa un costo directo para el equipo de desarrollo. Su participación en entrevistas y validaciones forma parte del proceso de levantamiento de información como cliente del servicio.</t>
  </si>
  <si>
    <t>DETALLE FASE 3 - ESPECIFICACIÓN</t>
  </si>
  <si>
    <t>Casos de uso Nivel 0</t>
  </si>
  <si>
    <t>Casos de uso expandido</t>
  </si>
  <si>
    <t>Costo unitario</t>
  </si>
  <si>
    <t>Internet</t>
  </si>
  <si>
    <t>Energía eléctrica</t>
  </si>
  <si>
    <t>Equipo</t>
  </si>
  <si>
    <t>Servicio básico</t>
  </si>
  <si>
    <t>Agua</t>
  </si>
  <si>
    <t>Modelo / descripción</t>
  </si>
  <si>
    <t>Valor comercial (USD)</t>
  </si>
  <si>
    <t>Vida útil (meses)</t>
  </si>
  <si>
    <t>Laptop Analista 1</t>
  </si>
  <si>
    <t>Laptop Analista 2</t>
  </si>
  <si>
    <t>Celular de pruebas</t>
  </si>
  <si>
    <t>Android gama media</t>
  </si>
  <si>
    <t>Espacio de trabajo (presencial)</t>
  </si>
  <si>
    <t>Depreciación mensual (USD)</t>
  </si>
  <si>
    <t>Meses del proyecto</t>
  </si>
  <si>
    <t>Depreciación del proyecto (USD)</t>
  </si>
  <si>
    <t>Lenovo/HP Core i5 8GB</t>
  </si>
  <si>
    <t>Caso de uso</t>
  </si>
  <si>
    <t>CU-01 Gestionar pedido en mesa</t>
  </si>
  <si>
    <t>CU-02 Gestionar pedido telefónico</t>
  </si>
  <si>
    <t>CU-03 Comunicar pedido a cocina</t>
  </si>
  <si>
    <t>CU-04 Verificar lista de pedidos</t>
  </si>
  <si>
    <t>CU-05 Actualizar estado del pedido digital</t>
  </si>
  <si>
    <t>CU-06 Gestionar cobro de pedido</t>
  </si>
  <si>
    <t>CU-07 Generar pedido QR e imprimir en cocina</t>
  </si>
  <si>
    <t>CU-08 Ver menú digital</t>
  </si>
  <si>
    <t>CU-09 Pagar pedido</t>
  </si>
  <si>
    <t>CU-10 Consultar estado de pedido</t>
  </si>
  <si>
    <t>CU-11 Agregar observaciones</t>
  </si>
  <si>
    <t>CU-12 Administrar menú digital</t>
  </si>
  <si>
    <t>CU-13 Gestionar QR por mesa</t>
  </si>
  <si>
    <t>CU-14 Gestionar promociones</t>
  </si>
  <si>
    <t>CU-15 Consultas / reportes básicos</t>
  </si>
  <si>
    <t>Requerimiento no funcional</t>
  </si>
  <si>
    <t>NF-01 Disponibilidad del sistema</t>
  </si>
  <si>
    <t>NF-02 Usabilidad del sistema</t>
  </si>
  <si>
    <t>NF-03 Tiempo de respuesta</t>
  </si>
  <si>
    <t>NF-04 Seguridad de la información</t>
  </si>
  <si>
    <t>NF-05 Compatibilidad de dispositivos</t>
  </si>
  <si>
    <t>TOTAL VALIDACION:</t>
  </si>
  <si>
    <t>DETALLE FASE 4 - VALIDACIÓN PROPUESTA 1</t>
  </si>
  <si>
    <t>COSTOS FASES</t>
  </si>
  <si>
    <t>costo scrum</t>
  </si>
  <si>
    <t>costo fases</t>
  </si>
  <si>
    <t xml:space="preserve">costo riesgo </t>
  </si>
  <si>
    <t>costo total</t>
  </si>
  <si>
    <t>TOTAL SCRUM (Propuesta 1)</t>
  </si>
  <si>
    <t>2,880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</si>
</sst>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5" fontId="0" fillId="0" borderId="2" xfId="0" applyNumberForma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6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3" borderId="1" xfId="0" applyFont="1" applyFill="1" applyBorder="1" applyAlignment="1">
      <alignment vertical="top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1" fillId="5" borderId="0" xfId="0" applyFont="1" applyFill="1"/>
    <xf numFmtId="0" fontId="0" fillId="5" borderId="0" xfId="0" applyFill="1"/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60" customWidth="1"/>
    <col min="2" max="2" width="27.5703125" customWidth="1"/>
  </cols>
  <sheetData>
    <row r="1" spans="1:2" ht="18.75" x14ac:dyDescent="0.3">
      <c r="A1" s="43" t="s">
        <v>0</v>
      </c>
      <c r="B1" s="44"/>
    </row>
    <row r="4" spans="1:2" x14ac:dyDescent="0.25">
      <c r="A4" s="40" t="s">
        <v>24</v>
      </c>
      <c r="B4" s="41"/>
    </row>
    <row r="5" spans="1:2" x14ac:dyDescent="0.25">
      <c r="A5" s="11" t="s">
        <v>25</v>
      </c>
      <c r="B5" s="23" t="s">
        <v>26</v>
      </c>
    </row>
    <row r="6" spans="1:2" x14ac:dyDescent="0.25">
      <c r="A6" s="11" t="s">
        <v>27</v>
      </c>
      <c r="B6" s="23" t="s">
        <v>28</v>
      </c>
    </row>
    <row r="7" spans="1:2" x14ac:dyDescent="0.25">
      <c r="A7" s="11" t="s">
        <v>29</v>
      </c>
      <c r="B7" s="23" t="s">
        <v>30</v>
      </c>
    </row>
    <row r="8" spans="1:2" x14ac:dyDescent="0.25">
      <c r="A8" s="11" t="s">
        <v>31</v>
      </c>
      <c r="B8" s="23" t="s">
        <v>32</v>
      </c>
    </row>
    <row r="9" spans="1:2" x14ac:dyDescent="0.25">
      <c r="A9" s="11" t="s">
        <v>33</v>
      </c>
      <c r="B9" s="23" t="s">
        <v>34</v>
      </c>
    </row>
    <row r="10" spans="1:2" x14ac:dyDescent="0.25">
      <c r="A10" s="11" t="s">
        <v>35</v>
      </c>
      <c r="B10" s="23" t="s">
        <v>36</v>
      </c>
    </row>
    <row r="11" spans="1:2" x14ac:dyDescent="0.25">
      <c r="A11" s="11" t="s">
        <v>37</v>
      </c>
      <c r="B11" s="23" t="s">
        <v>38</v>
      </c>
    </row>
    <row r="12" spans="1:2" x14ac:dyDescent="0.25">
      <c r="A12" s="11" t="s">
        <v>118</v>
      </c>
      <c r="B12" s="42">
        <f>'Costo SCRUM'!B6</f>
        <v>144</v>
      </c>
    </row>
    <row r="13" spans="1:2" x14ac:dyDescent="0.25">
      <c r="A13" s="11" t="s">
        <v>119</v>
      </c>
      <c r="B13" s="23">
        <f>'Costo fases'!C8</f>
        <v>5694.4</v>
      </c>
    </row>
    <row r="14" spans="1:2" x14ac:dyDescent="0.25">
      <c r="A14" s="11" t="s">
        <v>120</v>
      </c>
      <c r="B14" s="23">
        <f>'Costo riesgos'!B6</f>
        <v>436.5</v>
      </c>
    </row>
    <row r="15" spans="1:2" x14ac:dyDescent="0.25">
      <c r="A15" s="11" t="s">
        <v>121</v>
      </c>
      <c r="B15" s="23">
        <f>B13+B14</f>
        <v>6130.9</v>
      </c>
    </row>
  </sheetData>
  <mergeCells count="2">
    <mergeCell ref="A1:B1"/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36" customWidth="1"/>
    <col min="2" max="2" width="12.28515625" customWidth="1"/>
    <col min="3" max="4" width="16" customWidth="1"/>
  </cols>
  <sheetData>
    <row r="1" spans="1:4" ht="18.75" x14ac:dyDescent="0.3">
      <c r="A1" s="38"/>
      <c r="B1" s="39"/>
      <c r="C1" s="39"/>
      <c r="D1" s="39"/>
    </row>
    <row r="3" spans="1:4" ht="30" customHeight="1" x14ac:dyDescent="0.25">
      <c r="A3" s="2" t="s">
        <v>2</v>
      </c>
      <c r="B3" s="4" t="s">
        <v>3</v>
      </c>
      <c r="C3" s="4" t="s">
        <v>49</v>
      </c>
      <c r="D3" s="4" t="s">
        <v>4</v>
      </c>
    </row>
    <row r="4" spans="1:4" x14ac:dyDescent="0.25">
      <c r="A4" s="5" t="s">
        <v>52</v>
      </c>
      <c r="B4" s="3">
        <v>72</v>
      </c>
      <c r="C4" s="3">
        <v>20</v>
      </c>
      <c r="D4" s="3">
        <v>1.44</v>
      </c>
    </row>
    <row r="5" spans="1:4" ht="30" x14ac:dyDescent="0.25">
      <c r="A5" s="5" t="s">
        <v>53</v>
      </c>
      <c r="B5" s="3">
        <v>72</v>
      </c>
      <c r="C5" s="3">
        <v>20</v>
      </c>
      <c r="D5" s="3">
        <v>1.44</v>
      </c>
    </row>
    <row r="6" spans="1:4" x14ac:dyDescent="0.25">
      <c r="A6" s="6" t="s">
        <v>122</v>
      </c>
      <c r="B6" s="4">
        <v>144</v>
      </c>
      <c r="C6" s="3"/>
      <c r="D6" s="4" t="s">
        <v>123</v>
      </c>
    </row>
    <row r="7" spans="1:4" x14ac:dyDescent="0.25">
      <c r="A7" s="5"/>
      <c r="B7" s="3"/>
      <c r="C7" s="3"/>
      <c r="D7" s="4"/>
    </row>
    <row r="8" spans="1:4" x14ac:dyDescent="0.25">
      <c r="A8" s="5"/>
      <c r="B8" s="3"/>
      <c r="C8" s="3"/>
      <c r="D8" s="4"/>
    </row>
    <row r="9" spans="1:4" x14ac:dyDescent="0.25">
      <c r="A9" s="5"/>
      <c r="B9" s="3"/>
      <c r="C9" s="3"/>
      <c r="D9" s="4"/>
    </row>
    <row r="10" spans="1:4" x14ac:dyDescent="0.25">
      <c r="A10" s="5"/>
      <c r="B10" s="3"/>
      <c r="C10" s="3"/>
      <c r="D10" s="4"/>
    </row>
    <row r="11" spans="1:4" x14ac:dyDescent="0.25">
      <c r="A11" s="5"/>
      <c r="B11" s="3"/>
      <c r="C11" s="3"/>
      <c r="D11" s="4"/>
    </row>
    <row r="12" spans="1:4" x14ac:dyDescent="0.25">
      <c r="A12" s="5"/>
      <c r="B12" s="4"/>
      <c r="C12" s="3"/>
      <c r="D12" s="4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2"/>
  <sheetViews>
    <sheetView topLeftCell="A130" zoomScale="85" zoomScaleNormal="85" workbookViewId="0">
      <selection activeCell="E139" sqref="E139"/>
    </sheetView>
  </sheetViews>
  <sheetFormatPr baseColWidth="10" defaultColWidth="9.140625" defaultRowHeight="15" x14ac:dyDescent="0.25"/>
  <cols>
    <col min="1" max="1" width="28.5703125" bestFit="1" customWidth="1"/>
    <col min="2" max="2" width="23" customWidth="1"/>
    <col min="3" max="3" width="14.5703125" customWidth="1"/>
    <col min="4" max="4" width="13.42578125" customWidth="1"/>
    <col min="5" max="5" width="8.7109375" customWidth="1"/>
    <col min="6" max="6" width="20.7109375" customWidth="1"/>
    <col min="7" max="7" width="17.85546875" customWidth="1"/>
  </cols>
  <sheetData>
    <row r="1" spans="1:13" ht="36" x14ac:dyDescent="0.55000000000000004">
      <c r="A1" s="29" t="s">
        <v>117</v>
      </c>
      <c r="B1" s="29"/>
      <c r="C1" s="29"/>
      <c r="D1" s="29"/>
      <c r="E1" s="29"/>
      <c r="F1" s="29"/>
      <c r="G1" s="29"/>
    </row>
    <row r="3" spans="1:13" ht="45" x14ac:dyDescent="0.25">
      <c r="A3" s="19" t="s">
        <v>6</v>
      </c>
      <c r="B3" s="19" t="s">
        <v>7</v>
      </c>
      <c r="C3" s="19" t="s">
        <v>8</v>
      </c>
      <c r="D3" s="20" t="s">
        <v>41</v>
      </c>
      <c r="E3" s="20"/>
      <c r="F3" s="20"/>
      <c r="G3" s="10"/>
      <c r="H3" s="10"/>
      <c r="I3" s="10"/>
      <c r="J3" s="10"/>
      <c r="K3" s="10"/>
      <c r="L3" s="10"/>
      <c r="M3" s="10"/>
    </row>
    <row r="4" spans="1:13" x14ac:dyDescent="0.25">
      <c r="A4" s="11" t="s">
        <v>9</v>
      </c>
      <c r="B4" s="11">
        <f>SUM(E13:E14,E19:E21,E26:E27,E32:E37)</f>
        <v>22.75</v>
      </c>
      <c r="C4" s="11">
        <f>SUM(G15,G22,G28,G38)</f>
        <v>221.5</v>
      </c>
      <c r="D4" s="9" t="s">
        <v>42</v>
      </c>
      <c r="E4" s="9"/>
      <c r="F4" s="9"/>
      <c r="G4" s="10"/>
      <c r="H4" s="10"/>
      <c r="I4" s="10"/>
      <c r="J4" s="10"/>
      <c r="K4" s="10"/>
      <c r="L4" s="10"/>
      <c r="M4" s="10"/>
    </row>
    <row r="5" spans="1:13" x14ac:dyDescent="0.25">
      <c r="A5" s="11" t="s">
        <v>10</v>
      </c>
      <c r="B5" s="11">
        <f>SUM(E51:E52,E57:E58,E63:E64,E69:E70,E75:E76,,E81:E82)</f>
        <v>48</v>
      </c>
      <c r="C5" s="11">
        <f>SUM(G53,G59,G65,G71,G77,G83)</f>
        <v>840</v>
      </c>
      <c r="D5" s="9" t="s">
        <v>43</v>
      </c>
      <c r="E5" s="9"/>
      <c r="F5" s="9"/>
      <c r="G5" s="10"/>
      <c r="H5" s="10"/>
      <c r="I5" s="10"/>
      <c r="J5" s="10"/>
      <c r="K5" s="10"/>
      <c r="L5" s="10"/>
      <c r="M5" s="10"/>
    </row>
    <row r="6" spans="1:13" x14ac:dyDescent="0.25">
      <c r="A6" s="11" t="s">
        <v>39</v>
      </c>
      <c r="B6" s="11">
        <f>SUM(E90:E91,C96:C97)</f>
        <v>28</v>
      </c>
      <c r="C6" s="11">
        <f>SUM(G92,E98,E105,G113,E118)</f>
        <v>1772.9</v>
      </c>
      <c r="D6" s="9" t="s">
        <v>44</v>
      </c>
      <c r="E6" s="9"/>
      <c r="F6" s="9"/>
      <c r="G6" s="10"/>
      <c r="H6" s="10"/>
      <c r="I6" s="10"/>
      <c r="J6" s="10"/>
      <c r="K6" s="10"/>
      <c r="L6" s="10"/>
      <c r="M6" s="10"/>
    </row>
    <row r="7" spans="1:13" x14ac:dyDescent="0.25">
      <c r="A7" s="11" t="s">
        <v>40</v>
      </c>
      <c r="B7" s="11">
        <v>45.25</v>
      </c>
      <c r="C7" s="11">
        <f>G138</f>
        <v>2860</v>
      </c>
      <c r="D7" s="9" t="s">
        <v>45</v>
      </c>
      <c r="E7" s="9"/>
      <c r="F7" s="9"/>
      <c r="G7" s="10"/>
      <c r="H7" s="10"/>
      <c r="I7" s="10"/>
      <c r="J7" s="10"/>
      <c r="K7" s="10"/>
      <c r="L7" s="10"/>
      <c r="M7" s="10"/>
    </row>
    <row r="8" spans="1:13" x14ac:dyDescent="0.25">
      <c r="A8" s="11" t="s">
        <v>5</v>
      </c>
      <c r="B8" s="11">
        <f>SUM(B4:B7)</f>
        <v>144</v>
      </c>
      <c r="C8" s="11">
        <f>SUM(C4:C7)</f>
        <v>5694.4</v>
      </c>
      <c r="D8" s="9"/>
      <c r="E8" s="9"/>
      <c r="F8" s="9"/>
      <c r="G8" s="10"/>
      <c r="H8" s="10"/>
      <c r="I8" s="10"/>
      <c r="J8" s="10"/>
      <c r="K8" s="10"/>
      <c r="L8" s="10"/>
      <c r="M8" s="10"/>
    </row>
    <row r="9" spans="1:1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ht="31.5" x14ac:dyDescent="0.25">
      <c r="A10" s="14" t="s">
        <v>46</v>
      </c>
      <c r="B10" s="14"/>
      <c r="C10" s="14"/>
      <c r="D10" s="14"/>
      <c r="E10" s="14"/>
      <c r="F10" s="14"/>
      <c r="G10" s="14"/>
      <c r="H10" s="10"/>
      <c r="I10" s="10"/>
      <c r="J10" s="10"/>
      <c r="K10" s="10"/>
      <c r="L10" s="10"/>
      <c r="M10" s="10"/>
    </row>
    <row r="11" spans="1:13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ht="30" x14ac:dyDescent="0.25">
      <c r="A12" s="17" t="s">
        <v>47</v>
      </c>
      <c r="B12" s="17" t="s">
        <v>2</v>
      </c>
      <c r="C12" s="18" t="s">
        <v>58</v>
      </c>
      <c r="D12" s="18" t="s">
        <v>59</v>
      </c>
      <c r="E12" s="17" t="s">
        <v>3</v>
      </c>
      <c r="F12" s="17" t="s">
        <v>49</v>
      </c>
      <c r="G12" s="17" t="s">
        <v>4</v>
      </c>
      <c r="H12" s="10"/>
      <c r="I12" s="10"/>
      <c r="J12" s="10"/>
      <c r="K12" s="10"/>
      <c r="L12" s="10"/>
      <c r="M12" s="10"/>
    </row>
    <row r="13" spans="1:13" ht="30" x14ac:dyDescent="0.25">
      <c r="A13" s="11" t="s">
        <v>62</v>
      </c>
      <c r="B13" s="11" t="s">
        <v>52</v>
      </c>
      <c r="C13" s="16">
        <v>45978</v>
      </c>
      <c r="D13" s="16">
        <v>45982</v>
      </c>
      <c r="E13" s="11">
        <v>4</v>
      </c>
      <c r="F13" s="11">
        <v>10</v>
      </c>
      <c r="G13" s="11">
        <f>E13*F13</f>
        <v>40</v>
      </c>
      <c r="H13" s="10"/>
      <c r="I13" s="10"/>
      <c r="J13" s="10"/>
      <c r="K13" s="10"/>
      <c r="L13" s="10"/>
      <c r="M13" s="10"/>
    </row>
    <row r="14" spans="1:13" ht="30" x14ac:dyDescent="0.25">
      <c r="A14" s="11" t="s">
        <v>62</v>
      </c>
      <c r="B14" s="11" t="s">
        <v>53</v>
      </c>
      <c r="C14" s="16">
        <v>45978</v>
      </c>
      <c r="D14" s="16">
        <v>45982</v>
      </c>
      <c r="E14" s="11">
        <v>4</v>
      </c>
      <c r="F14" s="11">
        <v>10</v>
      </c>
      <c r="G14" s="11">
        <f>E14*F14</f>
        <v>40</v>
      </c>
      <c r="H14" s="10"/>
      <c r="I14" s="10"/>
      <c r="J14" s="10"/>
      <c r="K14" s="10"/>
      <c r="L14" s="10"/>
      <c r="M14" s="10"/>
    </row>
    <row r="15" spans="1:13" x14ac:dyDescent="0.25">
      <c r="A15" s="11"/>
      <c r="B15" s="15" t="s">
        <v>5</v>
      </c>
      <c r="C15" s="11"/>
      <c r="D15" s="11"/>
      <c r="E15" s="11"/>
      <c r="F15" s="11"/>
      <c r="G15" s="15">
        <f>SUM(G13:G14)</f>
        <v>80</v>
      </c>
      <c r="H15" s="10"/>
      <c r="I15" s="10"/>
      <c r="J15" s="10"/>
      <c r="K15" s="10"/>
      <c r="L15" s="10"/>
      <c r="M15" s="10"/>
    </row>
    <row r="16" spans="1:13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2"/>
      <c r="K17" s="10"/>
      <c r="L17" s="10"/>
      <c r="M17" s="10"/>
    </row>
    <row r="18" spans="1:13" ht="30" x14ac:dyDescent="0.25">
      <c r="A18" s="17" t="s">
        <v>47</v>
      </c>
      <c r="B18" s="17" t="s">
        <v>2</v>
      </c>
      <c r="C18" s="21" t="s">
        <v>58</v>
      </c>
      <c r="D18" s="21" t="s">
        <v>59</v>
      </c>
      <c r="E18" s="17" t="s">
        <v>3</v>
      </c>
      <c r="F18" s="17" t="s">
        <v>49</v>
      </c>
      <c r="G18" s="17" t="s">
        <v>4</v>
      </c>
      <c r="H18" s="10"/>
      <c r="I18" s="24" t="s">
        <v>71</v>
      </c>
      <c r="J18" s="24"/>
      <c r="K18" s="24"/>
      <c r="L18" s="24"/>
      <c r="M18" s="24"/>
    </row>
    <row r="19" spans="1:13" ht="30" customHeight="1" x14ac:dyDescent="0.25">
      <c r="A19" s="11" t="s">
        <v>50</v>
      </c>
      <c r="B19" s="11" t="s">
        <v>54</v>
      </c>
      <c r="C19" s="22">
        <v>45986</v>
      </c>
      <c r="D19" s="22">
        <v>45986</v>
      </c>
      <c r="E19" s="11">
        <v>0.75</v>
      </c>
      <c r="F19" s="11">
        <v>0</v>
      </c>
      <c r="G19" s="11">
        <f>E19*F19</f>
        <v>0</v>
      </c>
      <c r="H19" s="10"/>
      <c r="I19" s="24"/>
      <c r="J19" s="24"/>
      <c r="K19" s="24"/>
      <c r="L19" s="24"/>
      <c r="M19" s="24"/>
    </row>
    <row r="20" spans="1:13" ht="30" x14ac:dyDescent="0.25">
      <c r="A20" s="11" t="s">
        <v>50</v>
      </c>
      <c r="B20" s="11" t="s">
        <v>52</v>
      </c>
      <c r="C20" s="22">
        <v>45986</v>
      </c>
      <c r="D20" s="22">
        <v>45986</v>
      </c>
      <c r="E20" s="11">
        <v>0.75</v>
      </c>
      <c r="F20" s="11">
        <v>15</v>
      </c>
      <c r="G20" s="11">
        <f t="shared" ref="G20:G21" si="0">E20*F20</f>
        <v>11.25</v>
      </c>
      <c r="H20" s="10"/>
      <c r="I20" s="24"/>
      <c r="J20" s="24"/>
      <c r="K20" s="24"/>
      <c r="L20" s="24"/>
      <c r="M20" s="24"/>
    </row>
    <row r="21" spans="1:13" ht="30" x14ac:dyDescent="0.25">
      <c r="A21" s="11" t="s">
        <v>50</v>
      </c>
      <c r="B21" s="11" t="s">
        <v>53</v>
      </c>
      <c r="C21" s="22">
        <v>45986</v>
      </c>
      <c r="D21" s="22">
        <v>45986</v>
      </c>
      <c r="E21" s="11">
        <v>0.75</v>
      </c>
      <c r="F21" s="11">
        <v>15</v>
      </c>
      <c r="G21" s="11">
        <f t="shared" si="0"/>
        <v>11.25</v>
      </c>
      <c r="H21" s="10"/>
      <c r="I21" s="24"/>
      <c r="J21" s="24"/>
      <c r="K21" s="24"/>
      <c r="L21" s="24"/>
      <c r="M21" s="24"/>
    </row>
    <row r="22" spans="1:13" x14ac:dyDescent="0.25">
      <c r="A22" s="23"/>
      <c r="B22" s="11" t="s">
        <v>5</v>
      </c>
      <c r="C22" s="23"/>
      <c r="D22" s="23"/>
      <c r="E22" s="23"/>
      <c r="F22" s="23"/>
      <c r="G22" s="23">
        <f>SUM(G19:G21)</f>
        <v>22.5</v>
      </c>
      <c r="H22" s="10"/>
      <c r="I22" s="7"/>
      <c r="J22" s="7"/>
      <c r="K22" s="7"/>
      <c r="L22" s="7"/>
      <c r="M22" s="7"/>
    </row>
    <row r="23" spans="1:13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ht="30" x14ac:dyDescent="0.25">
      <c r="A25" s="17" t="s">
        <v>47</v>
      </c>
      <c r="B25" s="17" t="s">
        <v>2</v>
      </c>
      <c r="C25" s="21" t="s">
        <v>58</v>
      </c>
      <c r="D25" s="21" t="s">
        <v>59</v>
      </c>
      <c r="E25" s="17" t="s">
        <v>3</v>
      </c>
      <c r="F25" s="17" t="s">
        <v>49</v>
      </c>
      <c r="G25" s="17" t="s">
        <v>4</v>
      </c>
      <c r="H25" s="10"/>
      <c r="I25" s="10"/>
      <c r="J25" s="10"/>
      <c r="K25" s="10"/>
      <c r="L25" s="10"/>
      <c r="M25" s="10"/>
    </row>
    <row r="26" spans="1:13" ht="30" x14ac:dyDescent="0.25">
      <c r="A26" s="11" t="s">
        <v>63</v>
      </c>
      <c r="B26" s="11" t="s">
        <v>52</v>
      </c>
      <c r="C26" s="22">
        <v>45999</v>
      </c>
      <c r="D26" s="22">
        <v>46002</v>
      </c>
      <c r="E26" s="11">
        <v>4</v>
      </c>
      <c r="F26" s="11">
        <v>10</v>
      </c>
      <c r="G26" s="11">
        <f>E26*F26</f>
        <v>40</v>
      </c>
      <c r="H26" s="10"/>
      <c r="I26" s="10"/>
      <c r="J26" s="10"/>
      <c r="K26" s="10"/>
      <c r="L26" s="10"/>
      <c r="M26" s="10"/>
    </row>
    <row r="27" spans="1:13" ht="30" x14ac:dyDescent="0.25">
      <c r="A27" s="11" t="s">
        <v>63</v>
      </c>
      <c r="B27" s="11" t="s">
        <v>53</v>
      </c>
      <c r="C27" s="22">
        <v>45999</v>
      </c>
      <c r="D27" s="22">
        <v>46002</v>
      </c>
      <c r="E27" s="11">
        <v>4</v>
      </c>
      <c r="F27" s="11">
        <v>10</v>
      </c>
      <c r="G27" s="11">
        <f>E27*F27</f>
        <v>40</v>
      </c>
      <c r="H27" s="10"/>
      <c r="I27" s="10"/>
      <c r="J27" s="10"/>
      <c r="K27" s="10"/>
      <c r="L27" s="10"/>
      <c r="M27" s="10"/>
    </row>
    <row r="28" spans="1:13" x14ac:dyDescent="0.25">
      <c r="A28" s="11"/>
      <c r="B28" s="15" t="s">
        <v>5</v>
      </c>
      <c r="C28" s="23"/>
      <c r="D28" s="23"/>
      <c r="E28" s="11"/>
      <c r="F28" s="11"/>
      <c r="G28" s="15">
        <f>SUM(G26:G27)</f>
        <v>80</v>
      </c>
      <c r="H28" s="10"/>
      <c r="I28" s="10"/>
      <c r="J28" s="10"/>
      <c r="K28" s="10"/>
      <c r="L28" s="10"/>
      <c r="M28" s="10"/>
    </row>
    <row r="29" spans="1:13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ht="30" x14ac:dyDescent="0.25">
      <c r="A31" s="17" t="s">
        <v>47</v>
      </c>
      <c r="B31" s="17" t="s">
        <v>2</v>
      </c>
      <c r="C31" s="21" t="s">
        <v>58</v>
      </c>
      <c r="D31" s="21" t="s">
        <v>60</v>
      </c>
      <c r="E31" s="17" t="s">
        <v>3</v>
      </c>
      <c r="F31" s="17" t="s">
        <v>49</v>
      </c>
      <c r="G31" s="17" t="s">
        <v>4</v>
      </c>
      <c r="H31" s="10"/>
      <c r="I31" s="10"/>
      <c r="J31" s="10"/>
      <c r="K31" s="10"/>
      <c r="L31" s="10"/>
      <c r="M31" s="10"/>
    </row>
    <row r="32" spans="1:13" ht="30" x14ac:dyDescent="0.25">
      <c r="A32" s="11" t="s">
        <v>51</v>
      </c>
      <c r="B32" s="11" t="s">
        <v>52</v>
      </c>
      <c r="C32" s="22">
        <v>46003</v>
      </c>
      <c r="D32" s="22">
        <v>46003</v>
      </c>
      <c r="E32" s="11">
        <v>0.75</v>
      </c>
      <c r="F32" s="11">
        <v>20</v>
      </c>
      <c r="G32" s="11">
        <f>E32*F32</f>
        <v>15</v>
      </c>
      <c r="H32" s="10"/>
      <c r="I32" s="10"/>
      <c r="J32" s="10"/>
      <c r="K32" s="10"/>
      <c r="L32" s="10"/>
      <c r="M32" s="10"/>
    </row>
    <row r="33" spans="1:13" ht="30" x14ac:dyDescent="0.25">
      <c r="A33" s="11" t="s">
        <v>51</v>
      </c>
      <c r="B33" s="11" t="s">
        <v>53</v>
      </c>
      <c r="C33" s="22">
        <v>46003</v>
      </c>
      <c r="D33" s="22">
        <v>46003</v>
      </c>
      <c r="E33" s="11">
        <v>0.75</v>
      </c>
      <c r="F33" s="11">
        <v>20</v>
      </c>
      <c r="G33" s="11">
        <f t="shared" ref="G33:G37" si="1">E33*F33</f>
        <v>15</v>
      </c>
      <c r="H33" s="10"/>
      <c r="I33" s="10"/>
      <c r="J33" s="10"/>
      <c r="K33" s="10"/>
      <c r="L33" s="10"/>
      <c r="M33" s="10"/>
    </row>
    <row r="34" spans="1:13" ht="30" x14ac:dyDescent="0.25">
      <c r="A34" s="11" t="s">
        <v>51</v>
      </c>
      <c r="B34" s="11" t="s">
        <v>55</v>
      </c>
      <c r="C34" s="22">
        <v>46003</v>
      </c>
      <c r="D34" s="22">
        <v>46003</v>
      </c>
      <c r="E34" s="11">
        <v>0.75</v>
      </c>
      <c r="F34" s="11">
        <v>3</v>
      </c>
      <c r="G34" s="11">
        <f t="shared" si="1"/>
        <v>2.25</v>
      </c>
      <c r="H34" s="10"/>
      <c r="I34" s="10"/>
      <c r="J34" s="10"/>
      <c r="K34" s="10"/>
      <c r="L34" s="10"/>
      <c r="M34" s="10"/>
    </row>
    <row r="35" spans="1:13" ht="30" x14ac:dyDescent="0.25">
      <c r="A35" s="11" t="s">
        <v>51</v>
      </c>
      <c r="B35" s="11" t="s">
        <v>56</v>
      </c>
      <c r="C35" s="22">
        <v>46003</v>
      </c>
      <c r="D35" s="22">
        <v>46003</v>
      </c>
      <c r="E35" s="11">
        <v>0.75</v>
      </c>
      <c r="F35" s="11">
        <v>3</v>
      </c>
      <c r="G35" s="11">
        <f t="shared" si="1"/>
        <v>2.25</v>
      </c>
      <c r="H35" s="10"/>
      <c r="I35" s="10"/>
      <c r="J35" s="10"/>
      <c r="K35" s="10"/>
      <c r="L35" s="10"/>
      <c r="M35" s="10"/>
    </row>
    <row r="36" spans="1:13" ht="30" x14ac:dyDescent="0.25">
      <c r="A36" s="11" t="s">
        <v>51</v>
      </c>
      <c r="B36" s="11" t="s">
        <v>61</v>
      </c>
      <c r="C36" s="22">
        <v>46003</v>
      </c>
      <c r="D36" s="22">
        <v>46003</v>
      </c>
      <c r="E36" s="11">
        <v>0.75</v>
      </c>
      <c r="F36" s="11">
        <v>3</v>
      </c>
      <c r="G36" s="11">
        <f t="shared" si="1"/>
        <v>2.25</v>
      </c>
      <c r="H36" s="10"/>
      <c r="I36" s="10"/>
      <c r="J36" s="10"/>
      <c r="K36" s="10"/>
      <c r="L36" s="10"/>
      <c r="M36" s="10"/>
    </row>
    <row r="37" spans="1:13" x14ac:dyDescent="0.25">
      <c r="A37" s="11" t="s">
        <v>51</v>
      </c>
      <c r="B37" s="11" t="s">
        <v>57</v>
      </c>
      <c r="C37" s="22">
        <v>46003</v>
      </c>
      <c r="D37" s="22">
        <v>46003</v>
      </c>
      <c r="E37" s="11">
        <v>0.75</v>
      </c>
      <c r="F37" s="11">
        <v>3</v>
      </c>
      <c r="G37" s="11">
        <f t="shared" si="1"/>
        <v>2.25</v>
      </c>
      <c r="H37" s="10"/>
      <c r="I37" s="10"/>
      <c r="J37" s="10"/>
      <c r="K37" s="10"/>
      <c r="L37" s="10"/>
      <c r="M37" s="10"/>
    </row>
    <row r="38" spans="1:13" x14ac:dyDescent="0.25">
      <c r="A38" s="11"/>
      <c r="B38" s="15" t="s">
        <v>5</v>
      </c>
      <c r="C38" s="23"/>
      <c r="D38" s="23"/>
      <c r="E38" s="11"/>
      <c r="F38" s="11"/>
      <c r="G38" s="23">
        <f>SUM(G32:G37)</f>
        <v>39</v>
      </c>
      <c r="H38" s="10"/>
      <c r="I38" s="10"/>
      <c r="J38" s="10"/>
      <c r="K38" s="10"/>
      <c r="L38" s="10"/>
      <c r="M38" s="10"/>
    </row>
    <row r="39" spans="1:13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 ht="31.5" x14ac:dyDescent="0.25">
      <c r="A48" s="25" t="s">
        <v>64</v>
      </c>
      <c r="B48" s="25"/>
      <c r="C48" s="25"/>
      <c r="D48" s="25"/>
      <c r="E48" s="25"/>
      <c r="F48" s="25"/>
      <c r="G48" s="25"/>
      <c r="H48" s="10"/>
      <c r="I48" s="10"/>
      <c r="J48" s="10"/>
      <c r="K48" s="10"/>
      <c r="L48" s="10"/>
      <c r="M48" s="10"/>
    </row>
    <row r="49" spans="1:13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ht="30" x14ac:dyDescent="0.25">
      <c r="A50" s="17" t="s">
        <v>47</v>
      </c>
      <c r="B50" s="17" t="s">
        <v>2</v>
      </c>
      <c r="C50" s="21" t="s">
        <v>58</v>
      </c>
      <c r="D50" s="21" t="s">
        <v>60</v>
      </c>
      <c r="E50" s="17" t="s">
        <v>3</v>
      </c>
      <c r="F50" s="17" t="s">
        <v>49</v>
      </c>
      <c r="G50" s="17" t="s">
        <v>4</v>
      </c>
      <c r="H50" s="10"/>
      <c r="I50" s="10"/>
      <c r="J50" s="10"/>
      <c r="K50" s="10"/>
      <c r="L50" s="10"/>
      <c r="M50" s="10"/>
    </row>
    <row r="51" spans="1:13" ht="30" x14ac:dyDescent="0.25">
      <c r="A51" s="11" t="s">
        <v>67</v>
      </c>
      <c r="B51" s="11" t="s">
        <v>52</v>
      </c>
      <c r="C51" s="22">
        <v>45980</v>
      </c>
      <c r="D51" s="22">
        <v>45986</v>
      </c>
      <c r="E51" s="11">
        <v>3</v>
      </c>
      <c r="F51" s="11">
        <v>15</v>
      </c>
      <c r="G51" s="11">
        <f>E51*F51</f>
        <v>45</v>
      </c>
      <c r="H51" s="10"/>
      <c r="I51" s="10"/>
      <c r="J51" s="10"/>
      <c r="K51" s="10"/>
      <c r="L51" s="10"/>
      <c r="M51" s="10"/>
    </row>
    <row r="52" spans="1:13" ht="30" x14ac:dyDescent="0.25">
      <c r="A52" s="11" t="s">
        <v>67</v>
      </c>
      <c r="B52" s="11" t="s">
        <v>53</v>
      </c>
      <c r="C52" s="22">
        <v>45980</v>
      </c>
      <c r="D52" s="22">
        <v>45986</v>
      </c>
      <c r="E52" s="11">
        <v>3</v>
      </c>
      <c r="F52" s="11">
        <v>15</v>
      </c>
      <c r="G52" s="11">
        <f>E52*F52</f>
        <v>45</v>
      </c>
      <c r="H52" s="10"/>
      <c r="I52" s="10"/>
      <c r="J52" s="10"/>
      <c r="K52" s="10"/>
      <c r="L52" s="10"/>
      <c r="M52" s="10"/>
    </row>
    <row r="53" spans="1:13" x14ac:dyDescent="0.25">
      <c r="A53" s="11"/>
      <c r="B53" s="15" t="s">
        <v>5</v>
      </c>
      <c r="C53" s="23"/>
      <c r="D53" s="23"/>
      <c r="E53" s="11"/>
      <c r="F53" s="11"/>
      <c r="G53" s="15">
        <f>SUM(G51:G52)</f>
        <v>90</v>
      </c>
      <c r="H53" s="10"/>
      <c r="I53" s="10"/>
      <c r="J53" s="10"/>
      <c r="K53" s="10"/>
      <c r="L53" s="10"/>
      <c r="M53" s="10"/>
    </row>
    <row r="54" spans="1:13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ht="30" x14ac:dyDescent="0.25">
      <c r="A56" s="17" t="s">
        <v>47</v>
      </c>
      <c r="B56" s="17" t="s">
        <v>2</v>
      </c>
      <c r="C56" s="21" t="s">
        <v>58</v>
      </c>
      <c r="D56" s="21" t="s">
        <v>60</v>
      </c>
      <c r="E56" s="17" t="s">
        <v>3</v>
      </c>
      <c r="F56" s="17" t="s">
        <v>49</v>
      </c>
      <c r="G56" s="17" t="s">
        <v>4</v>
      </c>
      <c r="H56" s="10"/>
      <c r="I56" s="10"/>
      <c r="J56" s="10"/>
      <c r="K56" s="10"/>
      <c r="L56" s="10"/>
      <c r="M56" s="10"/>
    </row>
    <row r="57" spans="1:13" ht="30" x14ac:dyDescent="0.25">
      <c r="A57" s="11" t="s">
        <v>68</v>
      </c>
      <c r="B57" s="11" t="s">
        <v>52</v>
      </c>
      <c r="C57" s="22">
        <v>46004</v>
      </c>
      <c r="D57" s="22">
        <v>46006</v>
      </c>
      <c r="E57" s="11">
        <v>3</v>
      </c>
      <c r="F57" s="11">
        <v>15</v>
      </c>
      <c r="G57" s="11">
        <f>E57*F57</f>
        <v>45</v>
      </c>
      <c r="H57" s="10"/>
      <c r="I57" s="10"/>
      <c r="J57" s="10"/>
      <c r="K57" s="10"/>
      <c r="L57" s="10"/>
      <c r="M57" s="10"/>
    </row>
    <row r="58" spans="1:13" ht="30" x14ac:dyDescent="0.25">
      <c r="A58" s="11" t="s">
        <v>68</v>
      </c>
      <c r="B58" s="11" t="s">
        <v>53</v>
      </c>
      <c r="C58" s="22">
        <v>46004</v>
      </c>
      <c r="D58" s="22">
        <v>46006</v>
      </c>
      <c r="E58" s="11">
        <v>3</v>
      </c>
      <c r="F58" s="11">
        <v>15</v>
      </c>
      <c r="G58" s="11">
        <f>E58*F58</f>
        <v>45</v>
      </c>
      <c r="H58" s="10"/>
      <c r="I58" s="10"/>
      <c r="J58" s="10"/>
      <c r="K58" s="10"/>
      <c r="L58" s="10"/>
      <c r="M58" s="10"/>
    </row>
    <row r="59" spans="1:13" x14ac:dyDescent="0.25">
      <c r="A59" s="11"/>
      <c r="B59" s="15" t="s">
        <v>5</v>
      </c>
      <c r="C59" s="23"/>
      <c r="D59" s="23"/>
      <c r="E59" s="11"/>
      <c r="F59" s="11"/>
      <c r="G59" s="15">
        <f>SUM(G57:G58)</f>
        <v>90</v>
      </c>
      <c r="H59" s="10"/>
      <c r="I59" s="10"/>
      <c r="J59" s="10"/>
      <c r="K59" s="10"/>
      <c r="L59" s="10"/>
      <c r="M59" s="10"/>
    </row>
    <row r="60" spans="1:13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ht="30" x14ac:dyDescent="0.25">
      <c r="A62" s="17" t="s">
        <v>47</v>
      </c>
      <c r="B62" s="17" t="s">
        <v>2</v>
      </c>
      <c r="C62" s="21" t="s">
        <v>58</v>
      </c>
      <c r="D62" s="21" t="s">
        <v>60</v>
      </c>
      <c r="E62" s="17" t="s">
        <v>3</v>
      </c>
      <c r="F62" s="17" t="s">
        <v>49</v>
      </c>
      <c r="G62" s="17" t="s">
        <v>4</v>
      </c>
      <c r="H62" s="10"/>
      <c r="I62" s="10"/>
      <c r="J62" s="10"/>
      <c r="K62" s="10"/>
      <c r="L62" s="10"/>
      <c r="M62" s="10"/>
    </row>
    <row r="63" spans="1:13" ht="30" x14ac:dyDescent="0.25">
      <c r="A63" s="11" t="s">
        <v>69</v>
      </c>
      <c r="B63" s="11" t="s">
        <v>52</v>
      </c>
      <c r="C63" s="22">
        <v>46001</v>
      </c>
      <c r="D63" s="22">
        <v>46006</v>
      </c>
      <c r="E63" s="11">
        <v>6</v>
      </c>
      <c r="F63" s="11">
        <v>20</v>
      </c>
      <c r="G63" s="11">
        <f>E63*F63</f>
        <v>120</v>
      </c>
      <c r="H63" s="10"/>
      <c r="I63" s="10"/>
      <c r="J63" s="10"/>
      <c r="K63" s="10"/>
      <c r="L63" s="10"/>
      <c r="M63" s="10"/>
    </row>
    <row r="64" spans="1:13" ht="30" x14ac:dyDescent="0.25">
      <c r="A64" s="11" t="s">
        <v>69</v>
      </c>
      <c r="B64" s="11" t="s">
        <v>53</v>
      </c>
      <c r="C64" s="22">
        <v>46001</v>
      </c>
      <c r="D64" s="22">
        <v>46006</v>
      </c>
      <c r="E64" s="11">
        <v>6</v>
      </c>
      <c r="F64" s="11">
        <v>20</v>
      </c>
      <c r="G64" s="11">
        <f>E64*F64</f>
        <v>120</v>
      </c>
      <c r="H64" s="10"/>
      <c r="I64" s="10"/>
      <c r="J64" s="10"/>
      <c r="K64" s="10"/>
      <c r="L64" s="10"/>
      <c r="M64" s="10"/>
    </row>
    <row r="65" spans="1:13" x14ac:dyDescent="0.25">
      <c r="A65" s="11"/>
      <c r="B65" s="15" t="s">
        <v>5</v>
      </c>
      <c r="C65" s="23"/>
      <c r="D65" s="23"/>
      <c r="E65" s="11"/>
      <c r="F65" s="11"/>
      <c r="G65" s="15">
        <f>SUM(G63:G64)</f>
        <v>240</v>
      </c>
      <c r="H65" s="10"/>
      <c r="I65" s="10"/>
      <c r="J65" s="10"/>
      <c r="K65" s="10"/>
      <c r="L65" s="10"/>
      <c r="M65" s="10"/>
    </row>
    <row r="66" spans="1:13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1:13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 spans="1:13" ht="30" x14ac:dyDescent="0.25">
      <c r="A68" s="17" t="s">
        <v>47</v>
      </c>
      <c r="B68" s="17" t="s">
        <v>2</v>
      </c>
      <c r="C68" s="21" t="s">
        <v>58</v>
      </c>
      <c r="D68" s="21" t="s">
        <v>60</v>
      </c>
      <c r="E68" s="17" t="s">
        <v>3</v>
      </c>
      <c r="F68" s="17" t="s">
        <v>49</v>
      </c>
      <c r="G68" s="17" t="s">
        <v>4</v>
      </c>
      <c r="H68" s="10"/>
      <c r="I68" s="10"/>
      <c r="J68" s="10"/>
      <c r="K68" s="10"/>
      <c r="L68" s="10"/>
      <c r="M68" s="10"/>
    </row>
    <row r="69" spans="1:13" ht="30" x14ac:dyDescent="0.25">
      <c r="A69" s="11" t="s">
        <v>66</v>
      </c>
      <c r="B69" s="11" t="s">
        <v>52</v>
      </c>
      <c r="C69" s="22">
        <v>46006</v>
      </c>
      <c r="D69" s="22">
        <v>46007</v>
      </c>
      <c r="E69" s="11">
        <v>3</v>
      </c>
      <c r="F69" s="11">
        <v>15</v>
      </c>
      <c r="G69" s="11">
        <f>E69*F69</f>
        <v>45</v>
      </c>
      <c r="H69" s="10"/>
      <c r="I69" s="10"/>
      <c r="J69" s="10"/>
      <c r="K69" s="10"/>
      <c r="L69" s="10"/>
      <c r="M69" s="10"/>
    </row>
    <row r="70" spans="1:13" ht="30" x14ac:dyDescent="0.25">
      <c r="A70" s="11" t="s">
        <v>66</v>
      </c>
      <c r="B70" s="11" t="s">
        <v>53</v>
      </c>
      <c r="C70" s="22">
        <v>46006</v>
      </c>
      <c r="D70" s="22">
        <v>46007</v>
      </c>
      <c r="E70" s="11">
        <v>3</v>
      </c>
      <c r="F70" s="11">
        <v>15</v>
      </c>
      <c r="G70" s="11">
        <f>E70*F70</f>
        <v>45</v>
      </c>
      <c r="H70" s="10"/>
      <c r="I70" s="10"/>
      <c r="J70" s="10"/>
      <c r="K70" s="10"/>
      <c r="L70" s="10"/>
      <c r="M70" s="10"/>
    </row>
    <row r="71" spans="1:13" x14ac:dyDescent="0.25">
      <c r="A71" s="11"/>
      <c r="B71" s="15" t="s">
        <v>5</v>
      </c>
      <c r="C71" s="23"/>
      <c r="D71" s="23"/>
      <c r="E71" s="11"/>
      <c r="F71" s="11"/>
      <c r="G71" s="15">
        <f>SUM(G69:G70)</f>
        <v>90</v>
      </c>
      <c r="H71" s="10"/>
      <c r="I71" s="10"/>
      <c r="J71" s="10"/>
      <c r="K71" s="10"/>
      <c r="L71" s="10"/>
      <c r="M71" s="10"/>
    </row>
    <row r="72" spans="1:13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spans="1:13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spans="1:13" ht="30" x14ac:dyDescent="0.25">
      <c r="A74" s="17" t="s">
        <v>47</v>
      </c>
      <c r="B74" s="17" t="s">
        <v>2</v>
      </c>
      <c r="C74" s="21" t="s">
        <v>58</v>
      </c>
      <c r="D74" s="21" t="s">
        <v>60</v>
      </c>
      <c r="E74" s="17" t="s">
        <v>3</v>
      </c>
      <c r="F74" s="17" t="s">
        <v>49</v>
      </c>
      <c r="G74" s="17" t="s">
        <v>4</v>
      </c>
      <c r="H74" s="10"/>
      <c r="I74" s="10"/>
      <c r="J74" s="10"/>
      <c r="K74" s="10"/>
      <c r="L74" s="10"/>
      <c r="M74" s="10"/>
    </row>
    <row r="75" spans="1:13" ht="30" x14ac:dyDescent="0.25">
      <c r="A75" s="11" t="s">
        <v>65</v>
      </c>
      <c r="B75" s="11" t="s">
        <v>52</v>
      </c>
      <c r="C75" s="22">
        <v>46006</v>
      </c>
      <c r="D75" s="22">
        <v>46007</v>
      </c>
      <c r="E75" s="11">
        <v>3</v>
      </c>
      <c r="F75" s="11">
        <v>15</v>
      </c>
      <c r="G75" s="11">
        <f>E75*F75</f>
        <v>45</v>
      </c>
      <c r="H75" s="10"/>
      <c r="I75" s="10"/>
      <c r="J75" s="10"/>
      <c r="K75" s="10"/>
      <c r="L75" s="10"/>
      <c r="M75" s="10"/>
    </row>
    <row r="76" spans="1:13" ht="30" x14ac:dyDescent="0.25">
      <c r="A76" s="11" t="s">
        <v>65</v>
      </c>
      <c r="B76" s="11" t="s">
        <v>53</v>
      </c>
      <c r="C76" s="22">
        <v>46006</v>
      </c>
      <c r="D76" s="22">
        <v>46007</v>
      </c>
      <c r="E76" s="11">
        <v>3</v>
      </c>
      <c r="F76" s="11">
        <v>15</v>
      </c>
      <c r="G76" s="11">
        <f>E76*F76</f>
        <v>45</v>
      </c>
      <c r="H76" s="10"/>
      <c r="I76" s="10"/>
      <c r="J76" s="10"/>
      <c r="K76" s="10"/>
      <c r="L76" s="10"/>
      <c r="M76" s="10"/>
    </row>
    <row r="77" spans="1:13" x14ac:dyDescent="0.25">
      <c r="A77" s="11"/>
      <c r="B77" s="15" t="s">
        <v>5</v>
      </c>
      <c r="C77" s="23"/>
      <c r="D77" s="23"/>
      <c r="E77" s="11"/>
      <c r="F77" s="11"/>
      <c r="G77" s="15">
        <f>SUM(G75:G76)</f>
        <v>90</v>
      </c>
      <c r="H77" s="10"/>
      <c r="I77" s="10"/>
      <c r="J77" s="10"/>
      <c r="K77" s="10"/>
      <c r="L77" s="10"/>
      <c r="M77" s="10"/>
    </row>
    <row r="78" spans="1:13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1:13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  <row r="80" spans="1:13" ht="30" x14ac:dyDescent="0.25">
      <c r="A80" s="17" t="s">
        <v>47</v>
      </c>
      <c r="B80" s="17" t="s">
        <v>2</v>
      </c>
      <c r="C80" s="21" t="s">
        <v>58</v>
      </c>
      <c r="D80" s="21" t="s">
        <v>60</v>
      </c>
      <c r="E80" s="17" t="s">
        <v>3</v>
      </c>
      <c r="F80" s="17" t="s">
        <v>49</v>
      </c>
      <c r="G80" s="17" t="s">
        <v>4</v>
      </c>
      <c r="H80" s="10"/>
      <c r="I80" s="10"/>
      <c r="J80" s="10"/>
      <c r="K80" s="10"/>
      <c r="L80" s="10"/>
      <c r="M80" s="10"/>
    </row>
    <row r="81" spans="1:13" ht="30" x14ac:dyDescent="0.25">
      <c r="A81" s="11" t="s">
        <v>70</v>
      </c>
      <c r="B81" s="11" t="s">
        <v>52</v>
      </c>
      <c r="C81" s="22">
        <v>46031</v>
      </c>
      <c r="D81" s="22">
        <v>46036</v>
      </c>
      <c r="E81" s="11">
        <v>6</v>
      </c>
      <c r="F81" s="11">
        <v>20</v>
      </c>
      <c r="G81" s="11">
        <f>E81*F81</f>
        <v>120</v>
      </c>
      <c r="H81" s="10"/>
      <c r="I81" s="10"/>
      <c r="J81" s="10"/>
      <c r="K81" s="10"/>
      <c r="L81" s="10"/>
      <c r="M81" s="10"/>
    </row>
    <row r="82" spans="1:13" ht="30" x14ac:dyDescent="0.25">
      <c r="A82" s="11" t="s">
        <v>70</v>
      </c>
      <c r="B82" s="11" t="s">
        <v>53</v>
      </c>
      <c r="C82" s="22">
        <v>46031</v>
      </c>
      <c r="D82" s="22">
        <v>46036</v>
      </c>
      <c r="E82" s="11">
        <v>6</v>
      </c>
      <c r="F82" s="11">
        <v>20</v>
      </c>
      <c r="G82" s="11">
        <f>E82*F82</f>
        <v>120</v>
      </c>
      <c r="H82" s="10"/>
      <c r="I82" s="10"/>
      <c r="J82" s="10"/>
      <c r="K82" s="10"/>
      <c r="L82" s="10"/>
      <c r="M82" s="10"/>
    </row>
    <row r="83" spans="1:13" x14ac:dyDescent="0.25">
      <c r="A83" s="11"/>
      <c r="B83" s="15" t="s">
        <v>5</v>
      </c>
      <c r="C83" s="23"/>
      <c r="D83" s="23"/>
      <c r="E83" s="11"/>
      <c r="F83" s="11"/>
      <c r="G83" s="15">
        <f>SUM(G81:G82)</f>
        <v>240</v>
      </c>
      <c r="H83" s="10"/>
      <c r="I83" s="10"/>
      <c r="J83" s="10"/>
      <c r="K83" s="10"/>
      <c r="L83" s="10"/>
      <c r="M83" s="10"/>
    </row>
    <row r="84" spans="1:13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spans="1:13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spans="1:13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  <row r="87" spans="1:13" ht="31.5" x14ac:dyDescent="0.25">
      <c r="A87" s="25" t="s">
        <v>72</v>
      </c>
      <c r="B87" s="25"/>
      <c r="C87" s="25"/>
      <c r="D87" s="25"/>
      <c r="E87" s="25"/>
      <c r="F87" s="25"/>
      <c r="G87" s="25"/>
      <c r="H87" s="10"/>
      <c r="I87" s="10"/>
      <c r="J87" s="10"/>
      <c r="K87" s="10"/>
      <c r="L87" s="10"/>
      <c r="M87" s="10"/>
    </row>
    <row r="88" spans="1:13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spans="1:13" ht="30" x14ac:dyDescent="0.25">
      <c r="A89" s="17" t="s">
        <v>47</v>
      </c>
      <c r="B89" s="17" t="s">
        <v>2</v>
      </c>
      <c r="C89" s="21" t="s">
        <v>58</v>
      </c>
      <c r="D89" s="21" t="s">
        <v>60</v>
      </c>
      <c r="E89" s="17" t="s">
        <v>3</v>
      </c>
      <c r="F89" s="17" t="s">
        <v>49</v>
      </c>
      <c r="G89" s="17" t="s">
        <v>4</v>
      </c>
      <c r="H89" s="10"/>
      <c r="I89" s="10"/>
      <c r="J89" s="10"/>
      <c r="K89" s="10"/>
      <c r="L89" s="10"/>
      <c r="M89" s="10"/>
    </row>
    <row r="90" spans="1:13" ht="30" x14ac:dyDescent="0.25">
      <c r="A90" s="11" t="s">
        <v>73</v>
      </c>
      <c r="B90" s="11" t="s">
        <v>52</v>
      </c>
      <c r="C90" s="22">
        <v>45994</v>
      </c>
      <c r="D90" s="22">
        <v>46007</v>
      </c>
      <c r="E90" s="11">
        <v>6</v>
      </c>
      <c r="F90" s="11">
        <v>20</v>
      </c>
      <c r="G90" s="11">
        <f>E90*F90</f>
        <v>120</v>
      </c>
      <c r="H90" s="10"/>
      <c r="I90" s="10"/>
      <c r="J90" s="10"/>
      <c r="K90" s="10"/>
      <c r="L90" s="10"/>
      <c r="M90" s="10"/>
    </row>
    <row r="91" spans="1:13" ht="30" x14ac:dyDescent="0.25">
      <c r="A91" s="11" t="s">
        <v>73</v>
      </c>
      <c r="B91" s="11" t="s">
        <v>53</v>
      </c>
      <c r="C91" s="22">
        <v>45994</v>
      </c>
      <c r="D91" s="22">
        <v>46007</v>
      </c>
      <c r="E91" s="11">
        <v>6</v>
      </c>
      <c r="F91" s="11">
        <v>20</v>
      </c>
      <c r="G91" s="11">
        <f>E91*F91</f>
        <v>120</v>
      </c>
      <c r="H91" s="10"/>
      <c r="I91" s="10"/>
      <c r="J91" s="10"/>
      <c r="K91" s="10"/>
      <c r="L91" s="10"/>
      <c r="M91" s="10"/>
    </row>
    <row r="92" spans="1:13" x14ac:dyDescent="0.25">
      <c r="A92" s="11"/>
      <c r="B92" s="15" t="s">
        <v>5</v>
      </c>
      <c r="C92" s="23"/>
      <c r="D92" s="23"/>
      <c r="E92" s="11"/>
      <c r="F92" s="11"/>
      <c r="G92" s="15">
        <f>SUM(G90:G91)</f>
        <v>240</v>
      </c>
      <c r="H92" s="10"/>
      <c r="I92" s="10"/>
      <c r="J92" s="10"/>
      <c r="K92" s="10"/>
      <c r="L92" s="10"/>
      <c r="M92" s="10"/>
    </row>
    <row r="93" spans="1:13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 spans="1:13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 spans="1:13" ht="30" x14ac:dyDescent="0.25">
      <c r="A95" s="17" t="s">
        <v>47</v>
      </c>
      <c r="B95" s="17" t="s">
        <v>2</v>
      </c>
      <c r="C95" s="17" t="s">
        <v>3</v>
      </c>
      <c r="D95" s="17" t="s">
        <v>49</v>
      </c>
      <c r="E95" s="17" t="s">
        <v>4</v>
      </c>
      <c r="F95" s="10"/>
      <c r="G95" s="10"/>
      <c r="H95" s="10"/>
      <c r="I95" s="10"/>
      <c r="J95" s="10"/>
      <c r="K95" s="10"/>
      <c r="L95" s="10"/>
      <c r="M95" s="10"/>
    </row>
    <row r="96" spans="1:13" ht="30" x14ac:dyDescent="0.25">
      <c r="A96" s="11" t="s">
        <v>74</v>
      </c>
      <c r="B96" s="11" t="s">
        <v>52</v>
      </c>
      <c r="C96" s="11">
        <v>8</v>
      </c>
      <c r="D96" s="11">
        <v>20</v>
      </c>
      <c r="E96" s="11">
        <f>C96*D96</f>
        <v>160</v>
      </c>
      <c r="F96" s="10"/>
      <c r="G96" s="10"/>
      <c r="H96" s="10"/>
      <c r="I96" s="10"/>
      <c r="J96" s="10"/>
      <c r="K96" s="10"/>
      <c r="L96" s="10"/>
      <c r="M96" s="10"/>
    </row>
    <row r="97" spans="1:13" ht="30" x14ac:dyDescent="0.25">
      <c r="A97" s="11" t="s">
        <v>74</v>
      </c>
      <c r="B97" s="11" t="s">
        <v>53</v>
      </c>
      <c r="C97" s="11">
        <v>8</v>
      </c>
      <c r="D97" s="11">
        <v>20</v>
      </c>
      <c r="E97" s="11">
        <f>C97*D97</f>
        <v>160</v>
      </c>
      <c r="F97" s="10"/>
      <c r="G97" s="10"/>
      <c r="H97" s="10"/>
      <c r="I97" s="10"/>
      <c r="J97" s="10"/>
      <c r="K97" s="10"/>
      <c r="L97" s="10"/>
      <c r="M97" s="10"/>
    </row>
    <row r="98" spans="1:13" x14ac:dyDescent="0.25">
      <c r="A98" s="11"/>
      <c r="B98" s="15" t="s">
        <v>5</v>
      </c>
      <c r="C98" s="11"/>
      <c r="D98" s="11"/>
      <c r="E98" s="15">
        <f>SUM(E96:E97)</f>
        <v>320</v>
      </c>
      <c r="F98" s="10"/>
      <c r="G98" s="10"/>
      <c r="H98" s="10"/>
      <c r="I98" s="10"/>
      <c r="J98" s="10"/>
      <c r="K98" s="10"/>
      <c r="L98" s="10"/>
      <c r="M98" s="10"/>
    </row>
    <row r="99" spans="1:13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</row>
    <row r="100" spans="1:13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 spans="1:13" ht="30" x14ac:dyDescent="0.25">
      <c r="A101" s="17" t="s">
        <v>79</v>
      </c>
      <c r="B101" s="17" t="s">
        <v>12</v>
      </c>
      <c r="C101" s="17" t="s">
        <v>13</v>
      </c>
      <c r="D101" s="17" t="s">
        <v>14</v>
      </c>
      <c r="E101" s="17" t="s">
        <v>4</v>
      </c>
      <c r="F101" s="10"/>
      <c r="G101" s="10"/>
      <c r="H101" s="10"/>
      <c r="I101" s="10"/>
      <c r="J101" s="10"/>
      <c r="K101" s="10"/>
      <c r="L101" s="10"/>
      <c r="M101" s="10"/>
    </row>
    <row r="102" spans="1:13" x14ac:dyDescent="0.25">
      <c r="A102" s="11" t="s">
        <v>76</v>
      </c>
      <c r="B102" s="11" t="s">
        <v>15</v>
      </c>
      <c r="C102" s="11">
        <v>3</v>
      </c>
      <c r="D102" s="11">
        <v>25</v>
      </c>
      <c r="E102" s="11">
        <f>C102*D102</f>
        <v>75</v>
      </c>
      <c r="F102" s="10"/>
      <c r="G102" s="10"/>
      <c r="H102" s="10"/>
      <c r="I102" s="10"/>
      <c r="J102" s="10"/>
      <c r="K102" s="10"/>
      <c r="L102" s="10"/>
      <c r="M102" s="10"/>
    </row>
    <row r="103" spans="1:13" x14ac:dyDescent="0.25">
      <c r="A103" s="11" t="s">
        <v>77</v>
      </c>
      <c r="B103" s="11" t="s">
        <v>15</v>
      </c>
      <c r="C103" s="11">
        <v>3</v>
      </c>
      <c r="D103" s="11">
        <v>20</v>
      </c>
      <c r="E103" s="11">
        <f t="shared" ref="E103:E104" si="2">C103*D103</f>
        <v>60</v>
      </c>
      <c r="F103" s="10"/>
      <c r="G103" s="10"/>
      <c r="H103" s="10"/>
      <c r="I103" s="10"/>
      <c r="J103" s="10"/>
      <c r="K103" s="10"/>
      <c r="L103" s="10"/>
      <c r="M103" s="10"/>
    </row>
    <row r="104" spans="1:13" x14ac:dyDescent="0.25">
      <c r="A104" s="11" t="s">
        <v>80</v>
      </c>
      <c r="B104" s="11" t="s">
        <v>15</v>
      </c>
      <c r="C104" s="11">
        <v>3</v>
      </c>
      <c r="D104" s="11">
        <v>10</v>
      </c>
      <c r="E104" s="11">
        <f t="shared" si="2"/>
        <v>30</v>
      </c>
      <c r="F104" s="10"/>
      <c r="G104" s="10"/>
      <c r="H104" s="10"/>
      <c r="I104" s="10"/>
      <c r="J104" s="10"/>
      <c r="K104" s="10"/>
      <c r="L104" s="10"/>
      <c r="M104" s="10"/>
    </row>
    <row r="105" spans="1:13" x14ac:dyDescent="0.25">
      <c r="A105" s="15" t="s">
        <v>5</v>
      </c>
      <c r="B105" s="11"/>
      <c r="C105" s="11"/>
      <c r="D105" s="11"/>
      <c r="E105" s="15">
        <f>SUM(E102:E104)</f>
        <v>165</v>
      </c>
      <c r="F105" s="10"/>
      <c r="G105" s="10"/>
      <c r="H105" s="10"/>
      <c r="I105" s="10"/>
      <c r="J105" s="10"/>
      <c r="K105" s="10"/>
      <c r="L105" s="10"/>
      <c r="M105" s="10"/>
    </row>
    <row r="106" spans="1:13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</row>
    <row r="107" spans="1:13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 spans="1:13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spans="1:13" ht="60" x14ac:dyDescent="0.25">
      <c r="A109" s="17" t="s">
        <v>78</v>
      </c>
      <c r="B109" s="17" t="s">
        <v>81</v>
      </c>
      <c r="C109" s="17" t="s">
        <v>82</v>
      </c>
      <c r="D109" s="17" t="s">
        <v>83</v>
      </c>
      <c r="E109" s="17" t="s">
        <v>89</v>
      </c>
      <c r="F109" s="17" t="s">
        <v>90</v>
      </c>
      <c r="G109" s="17" t="s">
        <v>91</v>
      </c>
      <c r="H109" s="10"/>
      <c r="I109" s="10"/>
      <c r="J109" s="10"/>
      <c r="K109" s="10"/>
      <c r="L109" s="10"/>
      <c r="M109" s="10"/>
    </row>
    <row r="110" spans="1:13" x14ac:dyDescent="0.25">
      <c r="A110" s="11" t="s">
        <v>84</v>
      </c>
      <c r="B110" s="11" t="s">
        <v>92</v>
      </c>
      <c r="C110" s="11">
        <v>700</v>
      </c>
      <c r="D110" s="11">
        <v>36</v>
      </c>
      <c r="E110" s="11">
        <v>19.440000000000001</v>
      </c>
      <c r="F110" s="11">
        <v>3</v>
      </c>
      <c r="G110" s="11">
        <f>E110*F110</f>
        <v>58.320000000000007</v>
      </c>
      <c r="H110" s="10"/>
      <c r="I110" s="10"/>
      <c r="J110" s="10"/>
      <c r="K110" s="10"/>
      <c r="L110" s="10"/>
      <c r="M110" s="10"/>
    </row>
    <row r="111" spans="1:13" x14ac:dyDescent="0.25">
      <c r="A111" s="11" t="s">
        <v>85</v>
      </c>
      <c r="B111" s="11" t="s">
        <v>92</v>
      </c>
      <c r="C111" s="11">
        <v>700</v>
      </c>
      <c r="D111" s="11">
        <v>36</v>
      </c>
      <c r="E111" s="11">
        <v>19.440000000000001</v>
      </c>
      <c r="F111" s="11">
        <v>3</v>
      </c>
      <c r="G111" s="11">
        <f t="shared" ref="G111:G112" si="3">E111*F111</f>
        <v>58.320000000000007</v>
      </c>
      <c r="H111" s="10"/>
      <c r="I111" s="10"/>
      <c r="J111" s="10"/>
      <c r="K111" s="10"/>
      <c r="L111" s="10"/>
      <c r="M111" s="10"/>
    </row>
    <row r="112" spans="1:13" x14ac:dyDescent="0.25">
      <c r="A112" s="11" t="s">
        <v>86</v>
      </c>
      <c r="B112" s="11" t="s">
        <v>87</v>
      </c>
      <c r="C112" s="11">
        <v>250</v>
      </c>
      <c r="D112" s="11">
        <v>24</v>
      </c>
      <c r="E112" s="11">
        <v>10.42</v>
      </c>
      <c r="F112" s="11">
        <v>3</v>
      </c>
      <c r="G112" s="11">
        <f t="shared" si="3"/>
        <v>31.259999999999998</v>
      </c>
      <c r="H112" s="10"/>
      <c r="I112" s="10"/>
      <c r="J112" s="10"/>
      <c r="K112" s="10"/>
      <c r="L112" s="10"/>
      <c r="M112" s="10"/>
    </row>
    <row r="113" spans="1:13" x14ac:dyDescent="0.25">
      <c r="A113" s="15" t="s">
        <v>5</v>
      </c>
      <c r="B113" s="11"/>
      <c r="C113" s="11"/>
      <c r="D113" s="11"/>
      <c r="E113" s="11"/>
      <c r="F113" s="11"/>
      <c r="G113" s="15">
        <f>SUM(G110:G112)</f>
        <v>147.9</v>
      </c>
      <c r="H113" s="10"/>
      <c r="I113" s="10"/>
      <c r="J113" s="10"/>
      <c r="K113" s="10"/>
      <c r="L113" s="10"/>
      <c r="M113" s="10"/>
    </row>
    <row r="114" spans="1:13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</row>
    <row r="115" spans="1:13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</row>
    <row r="116" spans="1:13" x14ac:dyDescent="0.25">
      <c r="A116" s="17" t="s">
        <v>1</v>
      </c>
      <c r="B116" s="17" t="s">
        <v>12</v>
      </c>
      <c r="C116" s="17" t="s">
        <v>13</v>
      </c>
      <c r="D116" s="17" t="s">
        <v>75</v>
      </c>
      <c r="E116" s="17" t="s">
        <v>48</v>
      </c>
      <c r="F116" s="10"/>
      <c r="G116" s="10"/>
      <c r="H116" s="10"/>
      <c r="I116" s="10"/>
      <c r="J116" s="10"/>
      <c r="K116" s="10"/>
      <c r="L116" s="10"/>
      <c r="M116" s="10"/>
    </row>
    <row r="117" spans="1:13" x14ac:dyDescent="0.25">
      <c r="A117" s="11" t="s">
        <v>88</v>
      </c>
      <c r="B117" s="11" t="s">
        <v>15</v>
      </c>
      <c r="C117" s="11">
        <v>3</v>
      </c>
      <c r="D117" s="11">
        <v>300</v>
      </c>
      <c r="E117" s="11">
        <f>C117*D117</f>
        <v>900</v>
      </c>
      <c r="F117" s="10"/>
      <c r="G117" s="10"/>
      <c r="H117" s="10"/>
      <c r="I117" s="10"/>
      <c r="J117" s="10"/>
      <c r="K117" s="10"/>
      <c r="L117" s="10"/>
      <c r="M117" s="10"/>
    </row>
    <row r="118" spans="1:13" x14ac:dyDescent="0.25">
      <c r="A118" s="15" t="s">
        <v>5</v>
      </c>
      <c r="B118" s="11"/>
      <c r="C118" s="11"/>
      <c r="D118" s="11"/>
      <c r="E118" s="15">
        <f>SUM(E117)</f>
        <v>900</v>
      </c>
      <c r="F118" s="10"/>
      <c r="G118" s="10"/>
      <c r="H118" s="10"/>
      <c r="I118" s="10"/>
      <c r="J118" s="10"/>
      <c r="K118" s="10"/>
      <c r="L118" s="10"/>
      <c r="M118" s="10"/>
    </row>
    <row r="119" spans="1:13" x14ac:dyDescent="0.25">
      <c r="A119" s="2"/>
      <c r="B119" s="7"/>
      <c r="C119" s="7"/>
      <c r="D119" s="7"/>
      <c r="E119" s="2"/>
      <c r="F119" s="10"/>
      <c r="G119" s="10"/>
      <c r="H119" s="10"/>
      <c r="I119" s="10"/>
      <c r="J119" s="10"/>
      <c r="K119" s="10"/>
      <c r="L119" s="10"/>
      <c r="M119" s="10"/>
    </row>
    <row r="120" spans="1:13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</row>
    <row r="121" spans="1:13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  <row r="122" spans="1:13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</row>
    <row r="123" spans="1:13" ht="31.5" x14ac:dyDescent="0.25">
      <c r="A123" s="25" t="s">
        <v>116</v>
      </c>
      <c r="B123" s="25"/>
      <c r="C123" s="25"/>
      <c r="D123" s="25"/>
      <c r="E123" s="25"/>
      <c r="F123" s="25"/>
      <c r="G123" s="25"/>
      <c r="H123" s="25"/>
      <c r="I123" s="25"/>
      <c r="J123" s="10"/>
      <c r="K123" s="10"/>
      <c r="L123" s="10"/>
      <c r="M123" s="10"/>
    </row>
    <row r="124" spans="1:13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</row>
    <row r="125" spans="1:13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</row>
    <row r="126" spans="1:13" ht="45" x14ac:dyDescent="0.25">
      <c r="A126" s="17" t="s">
        <v>93</v>
      </c>
      <c r="B126" s="34" t="s">
        <v>3</v>
      </c>
      <c r="C126" s="34" t="s">
        <v>49</v>
      </c>
      <c r="D126" s="34" t="s">
        <v>4</v>
      </c>
      <c r="E126" s="33"/>
      <c r="F126" s="26" t="s">
        <v>109</v>
      </c>
      <c r="G126" s="26" t="s">
        <v>3</v>
      </c>
      <c r="H126" s="26" t="s">
        <v>49</v>
      </c>
      <c r="I126" s="26" t="s">
        <v>4</v>
      </c>
      <c r="J126" s="10"/>
      <c r="K126" s="10"/>
      <c r="L126" s="10"/>
      <c r="M126" s="10"/>
    </row>
    <row r="127" spans="1:13" ht="30" x14ac:dyDescent="0.25">
      <c r="A127" s="8" t="s">
        <v>94</v>
      </c>
      <c r="B127" s="35">
        <v>9</v>
      </c>
      <c r="C127" s="35">
        <v>20</v>
      </c>
      <c r="D127" s="35">
        <f>B127*C127</f>
        <v>180</v>
      </c>
      <c r="E127" s="7"/>
      <c r="F127" s="27" t="s">
        <v>110</v>
      </c>
      <c r="G127" s="27">
        <v>4</v>
      </c>
      <c r="H127" s="27">
        <v>20</v>
      </c>
      <c r="I127" s="27">
        <f>G127*H127</f>
        <v>80</v>
      </c>
      <c r="J127" s="10"/>
      <c r="K127" s="10"/>
      <c r="L127" s="10"/>
      <c r="M127" s="10"/>
    </row>
    <row r="128" spans="1:13" ht="30" x14ac:dyDescent="0.25">
      <c r="A128" s="8" t="s">
        <v>95</v>
      </c>
      <c r="B128" s="35">
        <v>7</v>
      </c>
      <c r="C128" s="35">
        <v>20</v>
      </c>
      <c r="D128" s="35">
        <f t="shared" ref="D128:D141" si="4">B128*C128</f>
        <v>140</v>
      </c>
      <c r="E128" s="7"/>
      <c r="F128" s="27" t="s">
        <v>111</v>
      </c>
      <c r="G128" s="27">
        <v>6</v>
      </c>
      <c r="H128" s="27">
        <v>20</v>
      </c>
      <c r="I128" s="27">
        <f t="shared" ref="I128:I131" si="5">G128*H128</f>
        <v>120</v>
      </c>
      <c r="J128" s="10"/>
      <c r="K128" s="10"/>
      <c r="L128" s="10"/>
      <c r="M128" s="10"/>
    </row>
    <row r="129" spans="1:13" ht="30" x14ac:dyDescent="0.25">
      <c r="A129" s="8" t="s">
        <v>96</v>
      </c>
      <c r="B129" s="35">
        <v>7</v>
      </c>
      <c r="C129" s="35">
        <v>20</v>
      </c>
      <c r="D129" s="35">
        <f t="shared" si="4"/>
        <v>140</v>
      </c>
      <c r="E129" s="7"/>
      <c r="F129" s="27" t="s">
        <v>112</v>
      </c>
      <c r="G129" s="27">
        <v>4</v>
      </c>
      <c r="H129" s="27">
        <v>20</v>
      </c>
      <c r="I129" s="27">
        <f t="shared" si="5"/>
        <v>80</v>
      </c>
      <c r="J129" s="10"/>
      <c r="K129" s="10"/>
      <c r="L129" s="10"/>
      <c r="M129" s="10"/>
    </row>
    <row r="130" spans="1:13" ht="30" x14ac:dyDescent="0.25">
      <c r="A130" s="8" t="s">
        <v>97</v>
      </c>
      <c r="B130" s="35">
        <v>9</v>
      </c>
      <c r="C130" s="35">
        <v>20</v>
      </c>
      <c r="D130" s="35">
        <f t="shared" si="4"/>
        <v>180</v>
      </c>
      <c r="E130" s="7"/>
      <c r="F130" s="27" t="s">
        <v>113</v>
      </c>
      <c r="G130" s="27">
        <v>4</v>
      </c>
      <c r="H130" s="27">
        <v>20</v>
      </c>
      <c r="I130" s="27">
        <f t="shared" si="5"/>
        <v>80</v>
      </c>
      <c r="J130" s="10"/>
      <c r="K130" s="10"/>
      <c r="L130" s="10"/>
      <c r="M130" s="10"/>
    </row>
    <row r="131" spans="1:13" ht="30" x14ac:dyDescent="0.25">
      <c r="A131" s="8" t="s">
        <v>98</v>
      </c>
      <c r="B131" s="35">
        <v>7</v>
      </c>
      <c r="C131" s="35">
        <v>20</v>
      </c>
      <c r="D131" s="35">
        <f t="shared" si="4"/>
        <v>140</v>
      </c>
      <c r="E131" s="7"/>
      <c r="F131" s="27" t="s">
        <v>114</v>
      </c>
      <c r="G131" s="27">
        <v>2</v>
      </c>
      <c r="H131" s="27">
        <v>20</v>
      </c>
      <c r="I131" s="27">
        <f t="shared" si="5"/>
        <v>40</v>
      </c>
      <c r="J131" s="10"/>
      <c r="K131" s="10"/>
      <c r="L131" s="10"/>
      <c r="M131" s="10"/>
    </row>
    <row r="132" spans="1:13" ht="30" x14ac:dyDescent="0.25">
      <c r="A132" s="8" t="s">
        <v>99</v>
      </c>
      <c r="B132" s="35">
        <v>9</v>
      </c>
      <c r="C132" s="35">
        <v>20</v>
      </c>
      <c r="D132" s="35">
        <f t="shared" si="4"/>
        <v>180</v>
      </c>
      <c r="E132" s="7"/>
      <c r="F132" s="28" t="s">
        <v>5</v>
      </c>
      <c r="G132" s="28">
        <f>SUM(G127:G131)</f>
        <v>20</v>
      </c>
      <c r="H132" s="27"/>
      <c r="I132" s="28">
        <f>SUM(I127:I131)</f>
        <v>400</v>
      </c>
      <c r="J132" s="10"/>
      <c r="K132" s="10"/>
      <c r="L132" s="10"/>
      <c r="M132" s="10"/>
    </row>
    <row r="133" spans="1:13" ht="30" x14ac:dyDescent="0.25">
      <c r="A133" s="8" t="s">
        <v>100</v>
      </c>
      <c r="B133" s="35">
        <v>19</v>
      </c>
      <c r="C133" s="35">
        <v>20</v>
      </c>
      <c r="D133" s="35">
        <f t="shared" si="4"/>
        <v>380</v>
      </c>
      <c r="E133" s="7"/>
      <c r="F133" s="7"/>
      <c r="G133" s="7"/>
      <c r="H133" s="7"/>
      <c r="I133" s="13"/>
      <c r="J133" s="10"/>
      <c r="K133" s="10"/>
      <c r="L133" s="10"/>
      <c r="M133" s="10"/>
    </row>
    <row r="134" spans="1:13" x14ac:dyDescent="0.25">
      <c r="A134" s="8" t="s">
        <v>101</v>
      </c>
      <c r="B134" s="35">
        <v>9</v>
      </c>
      <c r="C134" s="35">
        <v>20</v>
      </c>
      <c r="D134" s="35">
        <f t="shared" si="4"/>
        <v>180</v>
      </c>
      <c r="E134" s="7"/>
      <c r="F134" s="7"/>
      <c r="G134" s="7"/>
      <c r="H134" s="7"/>
      <c r="I134" s="13"/>
      <c r="J134" s="10"/>
      <c r="K134" s="10"/>
      <c r="L134" s="10"/>
      <c r="M134" s="10"/>
    </row>
    <row r="135" spans="1:13" x14ac:dyDescent="0.25">
      <c r="A135" s="8" t="s">
        <v>102</v>
      </c>
      <c r="B135" s="35">
        <v>12</v>
      </c>
      <c r="C135" s="35">
        <v>20</v>
      </c>
      <c r="D135" s="35">
        <f t="shared" si="4"/>
        <v>240</v>
      </c>
      <c r="E135" s="7"/>
      <c r="F135" s="7"/>
      <c r="G135" s="7"/>
      <c r="H135" s="7"/>
      <c r="I135" s="13"/>
      <c r="J135" s="10"/>
      <c r="K135" s="10"/>
      <c r="L135" s="10"/>
      <c r="M135" s="10"/>
    </row>
    <row r="136" spans="1:13" ht="30" x14ac:dyDescent="0.25">
      <c r="A136" s="8" t="s">
        <v>103</v>
      </c>
      <c r="B136" s="35">
        <v>7</v>
      </c>
      <c r="C136" s="35">
        <v>20</v>
      </c>
      <c r="D136" s="35">
        <f t="shared" si="4"/>
        <v>140</v>
      </c>
      <c r="E136" s="7"/>
      <c r="F136" s="7"/>
      <c r="G136" s="7"/>
      <c r="H136" s="7"/>
      <c r="I136" s="13"/>
      <c r="J136" s="10"/>
      <c r="K136" s="10"/>
      <c r="L136" s="10"/>
      <c r="M136" s="10"/>
    </row>
    <row r="137" spans="1:13" x14ac:dyDescent="0.25">
      <c r="A137" s="8" t="s">
        <v>104</v>
      </c>
      <c r="B137" s="35">
        <v>5</v>
      </c>
      <c r="C137" s="35">
        <v>20</v>
      </c>
      <c r="D137" s="35">
        <f t="shared" si="4"/>
        <v>100</v>
      </c>
      <c r="E137" s="7"/>
      <c r="F137" s="7"/>
      <c r="G137" s="7"/>
      <c r="H137" s="7"/>
      <c r="I137" s="13"/>
      <c r="J137" s="10"/>
      <c r="K137" s="10"/>
      <c r="L137" s="10"/>
      <c r="M137" s="10"/>
    </row>
    <row r="138" spans="1:13" ht="30" x14ac:dyDescent="0.25">
      <c r="A138" s="8" t="s">
        <v>105</v>
      </c>
      <c r="B138" s="35">
        <v>10</v>
      </c>
      <c r="C138" s="35">
        <v>20</v>
      </c>
      <c r="D138" s="35">
        <f t="shared" si="4"/>
        <v>200</v>
      </c>
      <c r="E138" s="7"/>
      <c r="F138" s="11" t="s">
        <v>115</v>
      </c>
      <c r="G138" s="11">
        <f>SUM(D142,I132)</f>
        <v>2860</v>
      </c>
      <c r="H138" s="7"/>
      <c r="I138" s="13"/>
      <c r="J138" s="10"/>
      <c r="K138" s="10"/>
      <c r="L138" s="10"/>
      <c r="M138" s="10"/>
    </row>
    <row r="139" spans="1:13" x14ac:dyDescent="0.25">
      <c r="A139" s="8" t="s">
        <v>106</v>
      </c>
      <c r="B139" s="35">
        <v>5</v>
      </c>
      <c r="C139" s="35">
        <v>20</v>
      </c>
      <c r="D139" s="35">
        <f t="shared" si="4"/>
        <v>100</v>
      </c>
      <c r="E139" s="7"/>
      <c r="F139" s="7"/>
      <c r="G139" s="7"/>
      <c r="H139" s="7"/>
      <c r="I139" s="13"/>
      <c r="J139" s="10"/>
      <c r="K139" s="10"/>
      <c r="L139" s="10"/>
      <c r="M139" s="10"/>
    </row>
    <row r="140" spans="1:13" x14ac:dyDescent="0.25">
      <c r="A140" s="8" t="s">
        <v>107</v>
      </c>
      <c r="B140" s="35">
        <v>4</v>
      </c>
      <c r="C140" s="35">
        <v>20</v>
      </c>
      <c r="D140" s="35">
        <f t="shared" si="4"/>
        <v>80</v>
      </c>
      <c r="E140" s="7"/>
      <c r="F140" s="7"/>
      <c r="G140" s="7"/>
      <c r="H140" s="7"/>
      <c r="I140" s="13"/>
      <c r="J140" s="10"/>
      <c r="K140" s="10"/>
      <c r="L140" s="10"/>
      <c r="M140" s="10"/>
    </row>
    <row r="141" spans="1:13" ht="30" x14ac:dyDescent="0.25">
      <c r="A141" s="8" t="s">
        <v>108</v>
      </c>
      <c r="B141" s="35">
        <v>4</v>
      </c>
      <c r="C141" s="35">
        <v>20</v>
      </c>
      <c r="D141" s="35">
        <f t="shared" si="4"/>
        <v>80</v>
      </c>
      <c r="E141" s="7"/>
      <c r="F141" s="7"/>
      <c r="G141" s="7"/>
      <c r="H141" s="7"/>
      <c r="I141" s="13"/>
      <c r="J141" s="10"/>
      <c r="K141" s="10"/>
      <c r="L141" s="10"/>
      <c r="M141" s="10"/>
    </row>
    <row r="142" spans="1:13" x14ac:dyDescent="0.25">
      <c r="A142" s="36" t="s">
        <v>5</v>
      </c>
      <c r="B142" s="37">
        <v>124</v>
      </c>
      <c r="C142" s="35"/>
      <c r="D142" s="37">
        <f>SUM(D127:D141)</f>
        <v>2460</v>
      </c>
      <c r="E142" s="10"/>
      <c r="F142" s="10"/>
      <c r="G142" s="10"/>
      <c r="H142" s="10"/>
      <c r="I142" s="10"/>
      <c r="J142" s="10"/>
      <c r="K142" s="10"/>
      <c r="L142" s="10"/>
      <c r="M142" s="10"/>
    </row>
  </sheetData>
  <mergeCells count="12">
    <mergeCell ref="A48:G48"/>
    <mergeCell ref="A87:G87"/>
    <mergeCell ref="A123:I123"/>
    <mergeCell ref="A1:G1"/>
    <mergeCell ref="I18:M21"/>
    <mergeCell ref="D4:F4"/>
    <mergeCell ref="D5:F5"/>
    <mergeCell ref="D6:F6"/>
    <mergeCell ref="D7:F7"/>
    <mergeCell ref="D3:F3"/>
    <mergeCell ref="D8:F8"/>
    <mergeCell ref="A10:G10"/>
  </mergeCells>
  <pageMargins left="0.75" right="0.75" top="1" bottom="1" header="0.5" footer="0.5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activeCell="A8" sqref="A8"/>
    </sheetView>
  </sheetViews>
  <sheetFormatPr baseColWidth="10" defaultColWidth="9.140625" defaultRowHeight="15" x14ac:dyDescent="0.25"/>
  <cols>
    <col min="1" max="1" width="33" customWidth="1"/>
    <col min="2" max="2" width="7" customWidth="1"/>
    <col min="3" max="3" width="26" customWidth="1"/>
  </cols>
  <sheetData>
    <row r="1" spans="1:3" ht="18.75" x14ac:dyDescent="0.3">
      <c r="A1" s="30" t="s">
        <v>16</v>
      </c>
      <c r="B1" s="31"/>
      <c r="C1" s="31"/>
    </row>
    <row r="3" spans="1:3" x14ac:dyDescent="0.25">
      <c r="A3" s="32" t="s">
        <v>1</v>
      </c>
      <c r="B3" s="32" t="s">
        <v>17</v>
      </c>
      <c r="C3" s="32" t="s">
        <v>18</v>
      </c>
    </row>
    <row r="4" spans="1:3" x14ac:dyDescent="0.25">
      <c r="A4" s="1" t="s">
        <v>19</v>
      </c>
      <c r="B4" s="1">
        <v>4365</v>
      </c>
      <c r="C4" s="1" t="s">
        <v>20</v>
      </c>
    </row>
    <row r="5" spans="1:3" x14ac:dyDescent="0.25">
      <c r="A5" s="1" t="s">
        <v>21</v>
      </c>
      <c r="B5" s="1" t="s">
        <v>11</v>
      </c>
      <c r="C5" s="1" t="s">
        <v>22</v>
      </c>
    </row>
    <row r="6" spans="1:3" x14ac:dyDescent="0.25">
      <c r="A6" s="1" t="s">
        <v>23</v>
      </c>
      <c r="B6" s="1">
        <v>436.5</v>
      </c>
      <c r="C6" s="1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general</vt:lpstr>
      <vt:lpstr>Costo SCRUM</vt:lpstr>
      <vt:lpstr>Costo fases</vt:lpstr>
      <vt:lpstr>Costo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2026-01-20T05:32:19Z</dcterms:created>
  <dcterms:modified xsi:type="dcterms:W3CDTF">2026-01-21T04:58:57Z</dcterms:modified>
</cp:coreProperties>
</file>